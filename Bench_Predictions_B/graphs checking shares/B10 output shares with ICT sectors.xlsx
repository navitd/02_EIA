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NavitComputer24\2024_NES\Economics\Textbook_EIA\Bench_Predictions_B\"/>
    </mc:Choice>
  </mc:AlternateContent>
  <xr:revisionPtr revIDLastSave="0" documentId="13_ncr:1_{D9E20838-108A-46E3-BD9C-BFCEA00E9D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utput shares 2014-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57" i="1" l="1"/>
  <c r="W24" i="1"/>
  <c r="W23" i="1"/>
  <c r="W22" i="1"/>
  <c r="W21" i="1"/>
  <c r="AA15" i="1"/>
  <c r="AA14" i="1"/>
  <c r="AA13" i="1"/>
  <c r="AA12" i="1"/>
  <c r="AA11" i="1"/>
  <c r="AA10" i="1"/>
  <c r="AA9" i="1"/>
</calcChain>
</file>

<file path=xl/sharedStrings.xml><?xml version="1.0" encoding="utf-8"?>
<sst xmlns="http://schemas.openxmlformats.org/spreadsheetml/2006/main" count="8399" uniqueCount="87">
  <si>
    <t>EIA details - output shares 2014-2024</t>
  </si>
  <si>
    <t>output_shares</t>
  </si>
  <si>
    <t>ICT_output_shares</t>
  </si>
  <si>
    <t>country</t>
  </si>
  <si>
    <t>sector</t>
  </si>
  <si>
    <t>output share 2014</t>
  </si>
  <si>
    <t>output share 2015</t>
  </si>
  <si>
    <t>output share 2016</t>
  </si>
  <si>
    <t>output share 2017</t>
  </si>
  <si>
    <t>output share 2018</t>
  </si>
  <si>
    <t>output share 2019</t>
  </si>
  <si>
    <t>output share 2020</t>
  </si>
  <si>
    <t>output share 2021</t>
  </si>
  <si>
    <t>output share 2022</t>
  </si>
  <si>
    <t>output share 2023</t>
  </si>
  <si>
    <t>output share 2024</t>
  </si>
  <si>
    <t>average_output_share</t>
  </si>
  <si>
    <t>CAN</t>
  </si>
  <si>
    <t>A01_02</t>
  </si>
  <si>
    <t>C26</t>
  </si>
  <si>
    <t>A03</t>
  </si>
  <si>
    <t>G</t>
  </si>
  <si>
    <t>B05_06</t>
  </si>
  <si>
    <t>J58T60</t>
  </si>
  <si>
    <t>B07_08</t>
  </si>
  <si>
    <t>J61</t>
  </si>
  <si>
    <t>B09</t>
  </si>
  <si>
    <t>J62_63</t>
  </si>
  <si>
    <t>C10T12</t>
  </si>
  <si>
    <t>M</t>
  </si>
  <si>
    <t>C13T15</t>
  </si>
  <si>
    <t>DEU</t>
  </si>
  <si>
    <t>C16</t>
  </si>
  <si>
    <t>C17_18</t>
  </si>
  <si>
    <t>C19</t>
  </si>
  <si>
    <t>C20</t>
  </si>
  <si>
    <t>C21</t>
  </si>
  <si>
    <t>C22</t>
  </si>
  <si>
    <t>FRA</t>
  </si>
  <si>
    <t>C23</t>
  </si>
  <si>
    <t>C24</t>
  </si>
  <si>
    <t>C25</t>
  </si>
  <si>
    <t>C27</t>
  </si>
  <si>
    <t>C28</t>
  </si>
  <si>
    <t>GBR</t>
  </si>
  <si>
    <t>C29</t>
  </si>
  <si>
    <t>C30</t>
  </si>
  <si>
    <t>C31T33</t>
  </si>
  <si>
    <t>D</t>
  </si>
  <si>
    <t>E</t>
  </si>
  <si>
    <t>F</t>
  </si>
  <si>
    <t>ITA</t>
  </si>
  <si>
    <t>H49</t>
  </si>
  <si>
    <t>H50</t>
  </si>
  <si>
    <t>H51</t>
  </si>
  <si>
    <t>H52</t>
  </si>
  <si>
    <t>H53</t>
  </si>
  <si>
    <t>JPN</t>
  </si>
  <si>
    <t>HFCE</t>
  </si>
  <si>
    <t>I</t>
  </si>
  <si>
    <t>K</t>
  </si>
  <si>
    <t>USA</t>
  </si>
  <si>
    <t>L</t>
  </si>
  <si>
    <t>N</t>
  </si>
  <si>
    <t>O</t>
  </si>
  <si>
    <t>P</t>
  </si>
  <si>
    <t>Q</t>
  </si>
  <si>
    <t>R</t>
  </si>
  <si>
    <t>S</t>
  </si>
  <si>
    <t>T</t>
  </si>
  <si>
    <r>
      <t>ICT_factors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{</t>
    </r>
    <r>
      <rPr>
        <sz val="11"/>
        <color rgb="FFCE9178"/>
        <rFont val="Consolas"/>
        <family val="3"/>
      </rPr>
      <t>'ICT - Manufacturing'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'C26'</t>
    </r>
    <r>
      <rPr>
        <sz val="11"/>
        <color rgb="FFCCCCCC"/>
        <rFont val="Consolas"/>
        <family val="3"/>
      </rPr>
      <t>,</t>
    </r>
  </si>
  <si>
    <r>
      <t xml:space="preserve">                </t>
    </r>
    <r>
      <rPr>
        <sz val="11"/>
        <color rgb="FFCE9178"/>
        <rFont val="Consolas"/>
        <family val="3"/>
      </rPr>
      <t>'ICT - Wholesaling'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'G'</t>
    </r>
    <r>
      <rPr>
        <sz val="11"/>
        <color rgb="FFCCCCCC"/>
        <rFont val="Consolas"/>
        <family val="3"/>
      </rPr>
      <t>,</t>
    </r>
  </si>
  <si>
    <r>
      <t xml:space="preserve">                </t>
    </r>
    <r>
      <rPr>
        <sz val="11"/>
        <color rgb="FFCE9178"/>
        <rFont val="Consolas"/>
        <family val="3"/>
      </rPr>
      <t>'ICT - Software and computer services'</t>
    </r>
    <r>
      <rPr>
        <sz val="11"/>
        <color rgb="FFCCCCCC"/>
        <rFont val="Consolas"/>
        <family val="3"/>
      </rPr>
      <t>: [</t>
    </r>
    <r>
      <rPr>
        <sz val="11"/>
        <color rgb="FFCE9178"/>
        <rFont val="Consolas"/>
        <family val="3"/>
      </rPr>
      <t>'J58T60'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'J62_63'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'M'</t>
    </r>
    <r>
      <rPr>
        <sz val="11"/>
        <color rgb="FFCCCCCC"/>
        <rFont val="Consolas"/>
        <family val="3"/>
      </rPr>
      <t>],  </t>
    </r>
  </si>
  <si>
    <r>
      <t xml:space="preserve">                </t>
    </r>
    <r>
      <rPr>
        <sz val="11"/>
        <color rgb="FFCE9178"/>
        <rFont val="Consolas"/>
        <family val="3"/>
      </rPr>
      <t>'ICT - Communications services'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'J61'</t>
    </r>
    <r>
      <rPr>
        <sz val="11"/>
        <color rgb="FFCCCCCC"/>
        <rFont val="Consolas"/>
        <family val="3"/>
      </rPr>
      <t>}</t>
    </r>
  </si>
  <si>
    <r>
      <t>ICTsectors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[</t>
    </r>
    <r>
      <rPr>
        <sz val="11"/>
        <color rgb="FFCE9178"/>
        <rFont val="Consolas"/>
        <family val="3"/>
      </rPr>
      <t>'C26'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'G'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'J58T60'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'J62_63'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'M'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'J61'</t>
    </r>
    <r>
      <rPr>
        <sz val="11"/>
        <color rgb="FFCCCCCC"/>
        <rFont val="Consolas"/>
        <family val="3"/>
      </rPr>
      <t>]</t>
    </r>
  </si>
  <si>
    <t>ICT_share_category</t>
  </si>
  <si>
    <t>ICT - Communications services</t>
  </si>
  <si>
    <t>ICT - Manufacturing</t>
  </si>
  <si>
    <t>ICT - Software and computer services</t>
  </si>
  <si>
    <t>ICT - Wholesaling</t>
  </si>
  <si>
    <t>sum over software sectors</t>
  </si>
  <si>
    <t>sum</t>
  </si>
  <si>
    <t>summary of all these sectors</t>
  </si>
  <si>
    <t>output</t>
  </si>
  <si>
    <t>year</t>
  </si>
  <si>
    <t>output total</t>
  </si>
  <si>
    <t>output sector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</si>
</sst>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CCCCCC"/>
      <name val="Consolas"/>
      <family val="3"/>
    </font>
    <font>
      <sz val="11"/>
      <color rgb="FF9CDCFE"/>
      <name val="Consolas"/>
      <family val="3"/>
    </font>
    <font>
      <sz val="11"/>
      <color rgb="FFD4D4D4"/>
      <name val="Consolas"/>
      <family val="3"/>
    </font>
    <font>
      <sz val="11"/>
      <color rgb="FFCE9178"/>
      <name val="Consolas"/>
      <family val="3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C000"/>
        <bgColor rgb="FF00C000"/>
      </patternFill>
    </fill>
    <fill>
      <patternFill patternType="solid">
        <fgColor rgb="FFADD8E6"/>
        <bgColor rgb="FFADD8E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T330"/>
  <sheetViews>
    <sheetView tabSelected="1" workbookViewId="0">
      <selection activeCell="AD58" sqref="AD58"/>
    </sheetView>
  </sheetViews>
  <sheetFormatPr defaultRowHeight="15" x14ac:dyDescent="0.25"/>
  <cols>
    <col min="4" max="14" width="16.85546875" bestFit="1" customWidth="1"/>
    <col min="15" max="15" width="21.140625" bestFit="1" customWidth="1"/>
    <col min="20" max="20" width="21.140625" bestFit="1" customWidth="1"/>
    <col min="23" max="23" width="28.28515625" bestFit="1" customWidth="1"/>
    <col min="24" max="24" width="18.5703125" bestFit="1" customWidth="1"/>
    <col min="25" max="25" width="34.42578125" bestFit="1" customWidth="1"/>
    <col min="26" max="26" width="16.5703125" bestFit="1" customWidth="1"/>
  </cols>
  <sheetData>
    <row r="1" spans="1:644" s="3" customFormat="1" x14ac:dyDescent="0.25">
      <c r="F1" s="14" t="s">
        <v>70</v>
      </c>
    </row>
    <row r="2" spans="1:644" s="3" customFormat="1" x14ac:dyDescent="0.25">
      <c r="F2" s="15" t="s">
        <v>71</v>
      </c>
    </row>
    <row r="3" spans="1:644" x14ac:dyDescent="0.25">
      <c r="A3" s="6" t="s">
        <v>0</v>
      </c>
      <c r="B3" s="7"/>
      <c r="C3" s="7"/>
      <c r="D3" s="8"/>
      <c r="F3" s="15" t="s">
        <v>72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</row>
    <row r="4" spans="1:644" x14ac:dyDescent="0.25">
      <c r="A4" s="9"/>
      <c r="B4" s="5"/>
      <c r="C4" s="5"/>
      <c r="D4" s="10"/>
      <c r="F4" s="15" t="s">
        <v>73</v>
      </c>
      <c r="V4" s="3"/>
      <c r="W4" s="3"/>
      <c r="X4" s="3"/>
      <c r="Y4" s="3"/>
      <c r="Z4" s="3"/>
      <c r="AA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/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WP4" s="3"/>
      <c r="WQ4" s="3"/>
      <c r="WR4" s="3"/>
      <c r="WS4" s="3"/>
      <c r="WT4" s="3"/>
      <c r="WU4" s="3"/>
      <c r="WV4" s="3"/>
      <c r="WW4" s="3"/>
      <c r="WX4" s="3"/>
      <c r="WY4" s="3"/>
      <c r="WZ4" s="3"/>
      <c r="XA4" s="3"/>
      <c r="XB4" s="3"/>
      <c r="XC4" s="3"/>
      <c r="XD4" s="3"/>
      <c r="XE4" s="3"/>
      <c r="XF4" s="3"/>
      <c r="XG4" s="3"/>
      <c r="XH4" s="3"/>
      <c r="XI4" s="3"/>
      <c r="XJ4" s="3"/>
      <c r="XK4" s="3"/>
      <c r="XL4" s="3"/>
      <c r="XM4" s="3"/>
      <c r="XN4" s="3"/>
      <c r="XO4" s="3"/>
      <c r="XP4" s="3"/>
      <c r="XQ4" s="3"/>
      <c r="XR4" s="3"/>
      <c r="XS4" s="3"/>
      <c r="XT4" s="3"/>
    </row>
    <row r="5" spans="1:644" x14ac:dyDescent="0.25">
      <c r="A5" s="11"/>
      <c r="B5" s="12"/>
      <c r="C5" s="12"/>
      <c r="D5" s="13"/>
      <c r="F5" s="14" t="s">
        <v>74</v>
      </c>
      <c r="V5" s="3"/>
      <c r="W5" s="3"/>
      <c r="X5" s="3"/>
      <c r="Y5" s="3"/>
      <c r="Z5" s="3"/>
      <c r="AA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/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WP5" s="3"/>
      <c r="WQ5" s="3"/>
      <c r="WR5" s="3"/>
      <c r="WS5" s="3"/>
      <c r="WT5" s="3"/>
      <c r="WU5" s="3"/>
      <c r="WV5" s="3"/>
      <c r="WW5" s="3"/>
      <c r="WX5" s="3"/>
      <c r="WY5" s="3"/>
      <c r="WZ5" s="3"/>
      <c r="XA5" s="3"/>
      <c r="XB5" s="3"/>
      <c r="XC5" s="3"/>
      <c r="XD5" s="3"/>
      <c r="XE5" s="3"/>
      <c r="XF5" s="3"/>
      <c r="XG5" s="3"/>
      <c r="XH5" s="3"/>
      <c r="XI5" s="3"/>
      <c r="XJ5" s="3"/>
      <c r="XK5" s="3"/>
      <c r="XL5" s="3"/>
      <c r="XM5" s="3"/>
      <c r="XN5" s="3"/>
      <c r="XO5" s="3"/>
      <c r="XP5" s="3"/>
      <c r="XQ5" s="3"/>
      <c r="XR5" s="3"/>
      <c r="XS5" s="3"/>
      <c r="XT5" s="3"/>
    </row>
    <row r="6" spans="1:644" x14ac:dyDescent="0.25">
      <c r="A6" s="4" t="s">
        <v>1</v>
      </c>
      <c r="B6" s="5"/>
      <c r="C6" s="5"/>
      <c r="D6" s="5"/>
      <c r="F6" s="3"/>
      <c r="P6" s="1"/>
      <c r="Q6" s="4" t="s">
        <v>2</v>
      </c>
      <c r="R6" s="5"/>
      <c r="S6" s="5"/>
      <c r="T6" s="5"/>
      <c r="U6" s="1"/>
      <c r="V6" s="4" t="s">
        <v>75</v>
      </c>
      <c r="W6" s="5"/>
      <c r="X6" s="5"/>
      <c r="Y6" s="5"/>
      <c r="Z6" s="3"/>
      <c r="AA6" s="1"/>
      <c r="AC6" s="21" t="s">
        <v>83</v>
      </c>
      <c r="AD6" s="5"/>
      <c r="AE6" s="5"/>
      <c r="AF6" s="5"/>
      <c r="AG6" s="3"/>
      <c r="AH6" s="3"/>
      <c r="AI6" s="3"/>
      <c r="AJ6" s="1"/>
      <c r="AK6" s="21" t="s">
        <v>83</v>
      </c>
      <c r="AL6" s="5"/>
      <c r="AM6" s="5"/>
      <c r="AN6" s="5"/>
      <c r="AO6" s="3"/>
      <c r="AP6" s="3"/>
      <c r="AQ6" s="3"/>
      <c r="AR6" s="1"/>
      <c r="AS6" s="21" t="s">
        <v>83</v>
      </c>
      <c r="AT6" s="5"/>
      <c r="AU6" s="5"/>
      <c r="AV6" s="5"/>
      <c r="AW6" s="3"/>
      <c r="AX6" s="3"/>
      <c r="AY6" s="3"/>
      <c r="AZ6" s="1"/>
      <c r="BA6" s="21" t="s">
        <v>83</v>
      </c>
      <c r="BB6" s="5"/>
      <c r="BC6" s="5"/>
      <c r="BD6" s="5"/>
      <c r="BE6" s="3"/>
      <c r="BF6" s="3"/>
      <c r="BG6" s="3"/>
      <c r="BH6" s="1"/>
      <c r="BI6" s="21" t="s">
        <v>83</v>
      </c>
      <c r="BJ6" s="5"/>
      <c r="BK6" s="5"/>
      <c r="BL6" s="5"/>
      <c r="BM6" s="3"/>
      <c r="BN6" s="3"/>
      <c r="BO6" s="3"/>
      <c r="BP6" s="1"/>
      <c r="BQ6" s="21" t="s">
        <v>83</v>
      </c>
      <c r="BR6" s="5"/>
      <c r="BS6" s="5"/>
      <c r="BT6" s="5"/>
      <c r="BU6" s="3"/>
      <c r="BV6" s="3"/>
      <c r="BW6" s="3"/>
      <c r="BX6" s="1"/>
      <c r="BY6" s="21" t="s">
        <v>83</v>
      </c>
      <c r="BZ6" s="5"/>
      <c r="CA6" s="5"/>
      <c r="CB6" s="5"/>
      <c r="CC6" s="3"/>
      <c r="CD6" s="3"/>
      <c r="CE6" s="3"/>
      <c r="CF6" s="1"/>
      <c r="CG6" s="21" t="s">
        <v>83</v>
      </c>
      <c r="CH6" s="5"/>
      <c r="CI6" s="5"/>
      <c r="CJ6" s="5"/>
      <c r="CK6" s="3"/>
      <c r="CL6" s="3"/>
      <c r="CM6" s="3"/>
      <c r="CN6" s="1"/>
      <c r="CO6" s="21" t="s">
        <v>83</v>
      </c>
      <c r="CP6" s="5"/>
      <c r="CQ6" s="5"/>
      <c r="CR6" s="5"/>
      <c r="CS6" s="3"/>
      <c r="CT6" s="3"/>
      <c r="CU6" s="3"/>
      <c r="CV6" s="1"/>
      <c r="CW6" s="21" t="s">
        <v>83</v>
      </c>
      <c r="CX6" s="5"/>
      <c r="CY6" s="5"/>
      <c r="CZ6" s="5"/>
      <c r="DA6" s="3"/>
      <c r="DB6" s="3"/>
      <c r="DC6" s="3"/>
      <c r="DD6" s="1"/>
      <c r="DE6" s="21" t="s">
        <v>83</v>
      </c>
      <c r="DF6" s="5"/>
      <c r="DG6" s="5"/>
      <c r="DH6" s="5"/>
      <c r="DI6" s="3"/>
      <c r="DJ6" s="3"/>
      <c r="DK6" s="3"/>
      <c r="DL6" s="1"/>
      <c r="DM6" s="21" t="s">
        <v>83</v>
      </c>
      <c r="DN6" s="5"/>
      <c r="DO6" s="5"/>
      <c r="DP6" s="5"/>
      <c r="DQ6" s="3"/>
      <c r="DR6" s="3"/>
      <c r="DS6" s="3"/>
      <c r="DT6" s="1"/>
      <c r="DU6" s="21" t="s">
        <v>83</v>
      </c>
      <c r="DV6" s="5"/>
      <c r="DW6" s="5"/>
      <c r="DX6" s="5"/>
      <c r="DY6" s="3"/>
      <c r="DZ6" s="3"/>
      <c r="EA6" s="3"/>
      <c r="EB6" s="1"/>
      <c r="EC6" s="21" t="s">
        <v>83</v>
      </c>
      <c r="ED6" s="5"/>
      <c r="EE6" s="5"/>
      <c r="EF6" s="5"/>
      <c r="EG6" s="3"/>
      <c r="EH6" s="3"/>
      <c r="EI6" s="3"/>
      <c r="EJ6" s="1"/>
      <c r="EK6" s="21" t="s">
        <v>83</v>
      </c>
      <c r="EL6" s="5"/>
      <c r="EM6" s="5"/>
      <c r="EN6" s="5"/>
      <c r="EO6" s="3"/>
      <c r="EP6" s="3"/>
      <c r="EQ6" s="3"/>
      <c r="ER6" s="1"/>
      <c r="ES6" s="21" t="s">
        <v>83</v>
      </c>
      <c r="ET6" s="5"/>
      <c r="EU6" s="5"/>
      <c r="EV6" s="5"/>
      <c r="EW6" s="3"/>
      <c r="EX6" s="3"/>
      <c r="EY6" s="3"/>
      <c r="EZ6" s="1"/>
      <c r="FA6" s="21" t="s">
        <v>83</v>
      </c>
      <c r="FB6" s="5"/>
      <c r="FC6" s="5"/>
      <c r="FD6" s="5"/>
      <c r="FE6" s="3"/>
      <c r="FF6" s="3"/>
      <c r="FG6" s="3"/>
      <c r="FH6" s="1"/>
      <c r="FI6" s="21" t="s">
        <v>83</v>
      </c>
      <c r="FJ6" s="5"/>
      <c r="FK6" s="5"/>
      <c r="FL6" s="5"/>
      <c r="FM6" s="3"/>
      <c r="FN6" s="3"/>
      <c r="FO6" s="3"/>
      <c r="FP6" s="1"/>
      <c r="FQ6" s="21" t="s">
        <v>83</v>
      </c>
      <c r="FR6" s="5"/>
      <c r="FS6" s="5"/>
      <c r="FT6" s="5"/>
      <c r="FU6" s="3"/>
      <c r="FV6" s="3"/>
      <c r="FW6" s="3"/>
      <c r="FX6" s="1"/>
      <c r="FY6" s="21" t="s">
        <v>83</v>
      </c>
      <c r="FZ6" s="5"/>
      <c r="GA6" s="5"/>
      <c r="GB6" s="5"/>
      <c r="GC6" s="3"/>
      <c r="GD6" s="3"/>
      <c r="GE6" s="3"/>
      <c r="GF6" s="1"/>
      <c r="GG6" s="21" t="s">
        <v>83</v>
      </c>
      <c r="GH6" s="5"/>
      <c r="GI6" s="5"/>
      <c r="GJ6" s="5"/>
      <c r="GK6" s="3"/>
      <c r="GL6" s="3"/>
      <c r="GM6" s="3"/>
      <c r="GN6" s="1"/>
      <c r="GO6" s="21" t="s">
        <v>83</v>
      </c>
      <c r="GP6" s="5"/>
      <c r="GQ6" s="5"/>
      <c r="GR6" s="5"/>
      <c r="GS6" s="3"/>
      <c r="GT6" s="3"/>
      <c r="GU6" s="3"/>
      <c r="GV6" s="1"/>
      <c r="GW6" s="21" t="s">
        <v>83</v>
      </c>
      <c r="GX6" s="5"/>
      <c r="GY6" s="5"/>
      <c r="GZ6" s="5"/>
      <c r="HA6" s="3"/>
      <c r="HB6" s="3"/>
      <c r="HC6" s="3"/>
      <c r="HD6" s="1"/>
      <c r="HE6" s="21" t="s">
        <v>83</v>
      </c>
      <c r="HF6" s="5"/>
      <c r="HG6" s="5"/>
      <c r="HH6" s="5"/>
      <c r="HI6" s="3"/>
      <c r="HJ6" s="3"/>
      <c r="HK6" s="3"/>
      <c r="HL6" s="1"/>
      <c r="HM6" s="21" t="s">
        <v>83</v>
      </c>
      <c r="HN6" s="5"/>
      <c r="HO6" s="5"/>
      <c r="HP6" s="5"/>
      <c r="HQ6" s="3"/>
      <c r="HR6" s="3"/>
      <c r="HS6" s="3"/>
      <c r="HT6" s="1"/>
      <c r="HU6" s="21" t="s">
        <v>83</v>
      </c>
      <c r="HV6" s="5"/>
      <c r="HW6" s="5"/>
      <c r="HX6" s="5"/>
      <c r="HY6" s="3"/>
      <c r="HZ6" s="3"/>
      <c r="IA6" s="3"/>
      <c r="IB6" s="1"/>
      <c r="IC6" s="21" t="s">
        <v>83</v>
      </c>
      <c r="ID6" s="5"/>
      <c r="IE6" s="5"/>
      <c r="IF6" s="5"/>
      <c r="IG6" s="3"/>
      <c r="IH6" s="3"/>
      <c r="II6" s="3"/>
      <c r="IJ6" s="1"/>
      <c r="IK6" s="21" t="s">
        <v>83</v>
      </c>
      <c r="IL6" s="5"/>
      <c r="IM6" s="5"/>
      <c r="IN6" s="5"/>
      <c r="IO6" s="3"/>
      <c r="IP6" s="3"/>
      <c r="IQ6" s="3"/>
      <c r="IR6" s="1"/>
      <c r="IS6" s="21" t="s">
        <v>83</v>
      </c>
      <c r="IT6" s="5"/>
      <c r="IU6" s="5"/>
      <c r="IV6" s="5"/>
      <c r="IW6" s="3"/>
      <c r="IX6" s="3"/>
      <c r="IY6" s="3"/>
      <c r="IZ6" s="1"/>
      <c r="JA6" s="21" t="s">
        <v>83</v>
      </c>
      <c r="JB6" s="5"/>
      <c r="JC6" s="5"/>
      <c r="JD6" s="5"/>
      <c r="JE6" s="3"/>
      <c r="JF6" s="3"/>
      <c r="JG6" s="3"/>
      <c r="JH6" s="1"/>
      <c r="JI6" s="21" t="s">
        <v>83</v>
      </c>
      <c r="JJ6" s="5"/>
      <c r="JK6" s="5"/>
      <c r="JL6" s="5"/>
      <c r="JM6" s="3"/>
      <c r="JN6" s="3"/>
      <c r="JO6" s="3"/>
      <c r="JP6" s="1"/>
      <c r="JQ6" s="21" t="s">
        <v>83</v>
      </c>
      <c r="JR6" s="5"/>
      <c r="JS6" s="5"/>
      <c r="JT6" s="5"/>
      <c r="JU6" s="3"/>
      <c r="JV6" s="3"/>
      <c r="JW6" s="3"/>
      <c r="JX6" s="1"/>
      <c r="JY6" s="21" t="s">
        <v>83</v>
      </c>
      <c r="JZ6" s="5"/>
      <c r="KA6" s="5"/>
      <c r="KB6" s="5"/>
      <c r="KC6" s="3"/>
      <c r="KD6" s="3"/>
      <c r="KE6" s="3"/>
      <c r="KF6" s="1"/>
      <c r="KG6" s="21" t="s">
        <v>83</v>
      </c>
      <c r="KH6" s="5"/>
      <c r="KI6" s="5"/>
      <c r="KJ6" s="5"/>
      <c r="KK6" s="3"/>
      <c r="KL6" s="3"/>
      <c r="KM6" s="3"/>
      <c r="KN6" s="1"/>
      <c r="KO6" s="21" t="s">
        <v>83</v>
      </c>
      <c r="KP6" s="5"/>
      <c r="KQ6" s="5"/>
      <c r="KR6" s="5"/>
      <c r="KS6" s="3"/>
      <c r="KT6" s="3"/>
      <c r="KU6" s="3"/>
      <c r="KV6" s="1"/>
      <c r="KW6" s="21" t="s">
        <v>83</v>
      </c>
      <c r="KX6" s="5"/>
      <c r="KY6" s="5"/>
      <c r="KZ6" s="5"/>
      <c r="LA6" s="3"/>
      <c r="LB6" s="3"/>
      <c r="LC6" s="3"/>
      <c r="LD6" s="1"/>
      <c r="LE6" s="21" t="s">
        <v>83</v>
      </c>
      <c r="LF6" s="5"/>
      <c r="LG6" s="5"/>
      <c r="LH6" s="5"/>
      <c r="LI6" s="3"/>
      <c r="LJ6" s="3"/>
      <c r="LK6" s="3"/>
      <c r="LL6" s="1"/>
      <c r="LM6" s="21" t="s">
        <v>83</v>
      </c>
      <c r="LN6" s="5"/>
      <c r="LO6" s="5"/>
      <c r="LP6" s="5"/>
      <c r="LQ6" s="3"/>
      <c r="LR6" s="3"/>
      <c r="LS6" s="3"/>
      <c r="LT6" s="1"/>
      <c r="LU6" s="21" t="s">
        <v>83</v>
      </c>
      <c r="LV6" s="5"/>
      <c r="LW6" s="5"/>
      <c r="LX6" s="5"/>
      <c r="LY6" s="3"/>
      <c r="LZ6" s="3"/>
      <c r="MA6" s="3"/>
      <c r="MB6" s="1"/>
      <c r="MC6" s="21" t="s">
        <v>83</v>
      </c>
      <c r="MD6" s="5"/>
      <c r="ME6" s="5"/>
      <c r="MF6" s="5"/>
      <c r="MG6" s="3"/>
      <c r="MH6" s="3"/>
      <c r="MI6" s="3"/>
      <c r="MJ6" s="1"/>
      <c r="MK6" s="21" t="s">
        <v>83</v>
      </c>
      <c r="ML6" s="5"/>
      <c r="MM6" s="5"/>
      <c r="MN6" s="5"/>
      <c r="MO6" s="3"/>
      <c r="MP6" s="3"/>
      <c r="MQ6" s="3"/>
      <c r="MR6" s="1"/>
      <c r="MS6" s="21" t="s">
        <v>83</v>
      </c>
      <c r="MT6" s="5"/>
      <c r="MU6" s="5"/>
      <c r="MV6" s="5"/>
      <c r="MW6" s="3"/>
      <c r="MX6" s="3"/>
      <c r="MY6" s="3"/>
      <c r="MZ6" s="1"/>
      <c r="NA6" s="21" t="s">
        <v>83</v>
      </c>
      <c r="NB6" s="5"/>
      <c r="NC6" s="5"/>
      <c r="ND6" s="5"/>
      <c r="NE6" s="3"/>
      <c r="NF6" s="3"/>
      <c r="NG6" s="3"/>
      <c r="NH6" s="1"/>
      <c r="NI6" s="21" t="s">
        <v>83</v>
      </c>
      <c r="NJ6" s="5"/>
      <c r="NK6" s="5"/>
      <c r="NL6" s="5"/>
      <c r="NM6" s="3"/>
      <c r="NN6" s="3"/>
      <c r="NO6" s="3"/>
      <c r="NP6" s="1"/>
      <c r="NQ6" s="21" t="s">
        <v>83</v>
      </c>
      <c r="NR6" s="5"/>
      <c r="NS6" s="5"/>
      <c r="NT6" s="5"/>
      <c r="NU6" s="3"/>
      <c r="NV6" s="3"/>
      <c r="NW6" s="3"/>
      <c r="NX6" s="1"/>
      <c r="NY6" s="21" t="s">
        <v>83</v>
      </c>
      <c r="NZ6" s="5"/>
      <c r="OA6" s="5"/>
      <c r="OB6" s="5"/>
      <c r="OC6" s="3"/>
      <c r="OD6" s="3"/>
      <c r="OE6" s="3"/>
      <c r="OF6" s="1"/>
      <c r="OG6" s="21" t="s">
        <v>83</v>
      </c>
      <c r="OH6" s="5"/>
      <c r="OI6" s="5"/>
      <c r="OJ6" s="5"/>
      <c r="OK6" s="3"/>
      <c r="OL6" s="3"/>
      <c r="OM6" s="3"/>
      <c r="ON6" s="1"/>
      <c r="OO6" s="21" t="s">
        <v>83</v>
      </c>
      <c r="OP6" s="5"/>
      <c r="OQ6" s="5"/>
      <c r="OR6" s="5"/>
      <c r="OS6" s="3"/>
      <c r="OT6" s="3"/>
      <c r="OU6" s="3"/>
      <c r="OV6" s="1"/>
      <c r="OW6" s="21" t="s">
        <v>83</v>
      </c>
      <c r="OX6" s="5"/>
      <c r="OY6" s="5"/>
      <c r="OZ6" s="5"/>
      <c r="PA6" s="3"/>
      <c r="PB6" s="3"/>
      <c r="PC6" s="3"/>
      <c r="PD6" s="1"/>
      <c r="PE6" s="21" t="s">
        <v>83</v>
      </c>
      <c r="PF6" s="5"/>
      <c r="PG6" s="5"/>
      <c r="PH6" s="5"/>
      <c r="PI6" s="3"/>
      <c r="PJ6" s="3"/>
      <c r="PK6" s="3"/>
      <c r="PL6" s="1"/>
      <c r="PM6" s="21" t="s">
        <v>83</v>
      </c>
      <c r="PN6" s="5"/>
      <c r="PO6" s="5"/>
      <c r="PP6" s="5"/>
      <c r="PQ6" s="3"/>
      <c r="PR6" s="3"/>
      <c r="PS6" s="3"/>
      <c r="PT6" s="1"/>
      <c r="PU6" s="21" t="s">
        <v>83</v>
      </c>
      <c r="PV6" s="5"/>
      <c r="PW6" s="5"/>
      <c r="PX6" s="5"/>
      <c r="PY6" s="3"/>
      <c r="PZ6" s="3"/>
      <c r="QA6" s="3"/>
      <c r="QB6" s="1"/>
      <c r="QC6" s="21" t="s">
        <v>83</v>
      </c>
      <c r="QD6" s="5"/>
      <c r="QE6" s="5"/>
      <c r="QF6" s="5"/>
      <c r="QG6" s="3"/>
      <c r="QH6" s="3"/>
      <c r="QI6" s="3"/>
      <c r="QJ6" s="1"/>
      <c r="QK6" s="21" t="s">
        <v>83</v>
      </c>
      <c r="QL6" s="5"/>
      <c r="QM6" s="5"/>
      <c r="QN6" s="5"/>
      <c r="QO6" s="3"/>
      <c r="QP6" s="3"/>
      <c r="QQ6" s="3"/>
      <c r="QR6" s="1"/>
      <c r="QS6" s="21" t="s">
        <v>83</v>
      </c>
      <c r="QT6" s="5"/>
      <c r="QU6" s="5"/>
      <c r="QV6" s="5"/>
      <c r="QW6" s="3"/>
      <c r="QX6" s="3"/>
      <c r="QY6" s="3"/>
      <c r="QZ6" s="1"/>
      <c r="RA6" s="21" t="s">
        <v>83</v>
      </c>
      <c r="RB6" s="5"/>
      <c r="RC6" s="5"/>
      <c r="RD6" s="5"/>
      <c r="RE6" s="3"/>
      <c r="RF6" s="3"/>
      <c r="RG6" s="3"/>
      <c r="RH6" s="1"/>
      <c r="RI6" s="21" t="s">
        <v>83</v>
      </c>
      <c r="RJ6" s="5"/>
      <c r="RK6" s="5"/>
      <c r="RL6" s="5"/>
      <c r="RM6" s="3"/>
      <c r="RN6" s="3"/>
      <c r="RO6" s="3"/>
      <c r="RP6" s="1"/>
      <c r="RQ6" s="21" t="s">
        <v>83</v>
      </c>
      <c r="RR6" s="5"/>
      <c r="RS6" s="5"/>
      <c r="RT6" s="5"/>
      <c r="RU6" s="3"/>
      <c r="RV6" s="3"/>
      <c r="RW6" s="3"/>
      <c r="RX6" s="1"/>
      <c r="RY6" s="21" t="s">
        <v>83</v>
      </c>
      <c r="RZ6" s="5"/>
      <c r="SA6" s="5"/>
      <c r="SB6" s="5"/>
      <c r="SC6" s="3"/>
      <c r="SD6" s="3"/>
      <c r="SE6" s="3"/>
      <c r="SF6" s="1"/>
      <c r="SG6" s="21" t="s">
        <v>83</v>
      </c>
      <c r="SH6" s="5"/>
      <c r="SI6" s="5"/>
      <c r="SJ6" s="5"/>
      <c r="SK6" s="3"/>
      <c r="SL6" s="3"/>
      <c r="SM6" s="3"/>
      <c r="SN6" s="1"/>
      <c r="SO6" s="21" t="s">
        <v>83</v>
      </c>
      <c r="SP6" s="5"/>
      <c r="SQ6" s="5"/>
      <c r="SR6" s="5"/>
      <c r="SS6" s="3"/>
      <c r="ST6" s="3"/>
      <c r="SU6" s="3"/>
      <c r="SV6" s="1"/>
      <c r="SW6" s="21" t="s">
        <v>83</v>
      </c>
      <c r="SX6" s="5"/>
      <c r="SY6" s="5"/>
      <c r="SZ6" s="5"/>
      <c r="TA6" s="3"/>
      <c r="TB6" s="3"/>
      <c r="TC6" s="3"/>
      <c r="TD6" s="1"/>
      <c r="TE6" s="21" t="s">
        <v>83</v>
      </c>
      <c r="TF6" s="5"/>
      <c r="TG6" s="5"/>
      <c r="TH6" s="5"/>
      <c r="TI6" s="3"/>
      <c r="TJ6" s="3"/>
      <c r="TK6" s="3"/>
      <c r="TL6" s="1"/>
      <c r="TM6" s="21" t="s">
        <v>83</v>
      </c>
      <c r="TN6" s="5"/>
      <c r="TO6" s="5"/>
      <c r="TP6" s="5"/>
      <c r="TQ6" s="3"/>
      <c r="TR6" s="3"/>
      <c r="TS6" s="3"/>
      <c r="TT6" s="1"/>
      <c r="TU6" s="21" t="s">
        <v>83</v>
      </c>
      <c r="TV6" s="5"/>
      <c r="TW6" s="5"/>
      <c r="TX6" s="5"/>
      <c r="TY6" s="3"/>
      <c r="TZ6" s="3"/>
      <c r="UA6" s="3"/>
      <c r="UB6" s="1"/>
      <c r="UC6" s="21" t="s">
        <v>83</v>
      </c>
      <c r="UD6" s="5"/>
      <c r="UE6" s="5"/>
      <c r="UF6" s="5"/>
      <c r="UG6" s="3"/>
      <c r="UH6" s="3"/>
      <c r="UI6" s="3"/>
      <c r="UJ6" s="1"/>
      <c r="UK6" s="21" t="s">
        <v>83</v>
      </c>
      <c r="UL6" s="5"/>
      <c r="UM6" s="5"/>
      <c r="UN6" s="5"/>
      <c r="UO6" s="3"/>
      <c r="UP6" s="3"/>
      <c r="UQ6" s="3"/>
      <c r="UR6" s="1"/>
      <c r="US6" s="21" t="s">
        <v>83</v>
      </c>
      <c r="UT6" s="5"/>
      <c r="UU6" s="5"/>
      <c r="UV6" s="5"/>
      <c r="UW6" s="3"/>
      <c r="UX6" s="3"/>
      <c r="UY6" s="3"/>
      <c r="UZ6" s="1"/>
      <c r="VA6" s="21" t="s">
        <v>83</v>
      </c>
      <c r="VB6" s="5"/>
      <c r="VC6" s="5"/>
      <c r="VD6" s="5"/>
      <c r="VE6" s="3"/>
      <c r="VF6" s="3"/>
      <c r="VG6" s="3"/>
      <c r="VH6" s="1"/>
      <c r="VI6" s="21" t="s">
        <v>83</v>
      </c>
      <c r="VJ6" s="5"/>
      <c r="VK6" s="5"/>
      <c r="VL6" s="5"/>
      <c r="VM6" s="3"/>
      <c r="VN6" s="3"/>
      <c r="VO6" s="3"/>
      <c r="VP6" s="1"/>
      <c r="VQ6" s="21" t="s">
        <v>83</v>
      </c>
      <c r="VR6" s="5"/>
      <c r="VS6" s="5"/>
      <c r="VT6" s="5"/>
      <c r="VU6" s="3"/>
      <c r="VV6" s="3"/>
      <c r="VW6" s="3"/>
      <c r="VX6" s="1"/>
      <c r="VY6" s="21" t="s">
        <v>83</v>
      </c>
      <c r="VZ6" s="5"/>
      <c r="WA6" s="5"/>
      <c r="WB6" s="5"/>
      <c r="WC6" s="3"/>
      <c r="WD6" s="3"/>
      <c r="WE6" s="3"/>
      <c r="WF6" s="1"/>
      <c r="WG6" s="21" t="s">
        <v>83</v>
      </c>
      <c r="WH6" s="5"/>
      <c r="WI6" s="5"/>
      <c r="WJ6" s="5"/>
      <c r="WK6" s="3"/>
      <c r="WL6" s="3"/>
      <c r="WM6" s="3"/>
      <c r="WN6" s="1"/>
      <c r="WO6" s="21" t="s">
        <v>83</v>
      </c>
      <c r="WP6" s="5"/>
      <c r="WQ6" s="5"/>
      <c r="WR6" s="5"/>
      <c r="WS6" s="3"/>
      <c r="WT6" s="3"/>
      <c r="WU6" s="3"/>
      <c r="WV6" s="1"/>
      <c r="WW6" s="21" t="s">
        <v>83</v>
      </c>
      <c r="WX6" s="5"/>
      <c r="WY6" s="5"/>
      <c r="WZ6" s="5"/>
      <c r="XA6" s="3"/>
      <c r="XB6" s="3"/>
      <c r="XC6" s="3"/>
      <c r="XD6" s="1"/>
      <c r="XE6" s="21" t="s">
        <v>83</v>
      </c>
      <c r="XF6" s="5"/>
      <c r="XG6" s="5"/>
      <c r="XH6" s="5"/>
      <c r="XI6" s="3"/>
      <c r="XJ6" s="3"/>
      <c r="XK6" s="3"/>
      <c r="XL6" s="1"/>
      <c r="XM6" s="21" t="s">
        <v>83</v>
      </c>
      <c r="XN6" s="5"/>
      <c r="XO6" s="5"/>
      <c r="XP6" s="5"/>
      <c r="XQ6" s="3"/>
      <c r="XR6" s="3"/>
      <c r="XS6" s="3"/>
      <c r="XT6" s="1"/>
    </row>
    <row r="7" spans="1:644" x14ac:dyDescent="0.25">
      <c r="A7" s="2"/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  <c r="H7" s="2" t="s">
        <v>9</v>
      </c>
      <c r="I7" s="2" t="s">
        <v>10</v>
      </c>
      <c r="J7" s="2" t="s">
        <v>11</v>
      </c>
      <c r="K7" s="2" t="s">
        <v>12</v>
      </c>
      <c r="L7" s="2" t="s">
        <v>13</v>
      </c>
      <c r="M7" s="2" t="s">
        <v>14</v>
      </c>
      <c r="N7" s="2" t="s">
        <v>15</v>
      </c>
      <c r="O7" s="2" t="s">
        <v>16</v>
      </c>
      <c r="P7" s="1"/>
      <c r="Q7" s="2"/>
      <c r="R7" s="2" t="s">
        <v>3</v>
      </c>
      <c r="S7" s="2" t="s">
        <v>4</v>
      </c>
      <c r="T7" s="2" t="s">
        <v>16</v>
      </c>
      <c r="U7" s="1"/>
      <c r="V7" s="2"/>
      <c r="W7" s="2" t="s">
        <v>76</v>
      </c>
      <c r="X7" s="2" t="s">
        <v>77</v>
      </c>
      <c r="Y7" s="2" t="s">
        <v>78</v>
      </c>
      <c r="Z7" s="2" t="s">
        <v>79</v>
      </c>
      <c r="AA7" s="1" t="s">
        <v>81</v>
      </c>
      <c r="AC7" s="22"/>
      <c r="AD7" s="22" t="s">
        <v>3</v>
      </c>
      <c r="AE7" s="22" t="s">
        <v>84</v>
      </c>
      <c r="AF7" s="22" t="s">
        <v>4</v>
      </c>
      <c r="AG7" s="22" t="s">
        <v>83</v>
      </c>
      <c r="AH7" s="22" t="s">
        <v>85</v>
      </c>
      <c r="AI7" s="22" t="s">
        <v>86</v>
      </c>
      <c r="AJ7" s="1"/>
      <c r="AK7" s="22"/>
      <c r="AL7" s="22" t="s">
        <v>3</v>
      </c>
      <c r="AM7" s="22" t="s">
        <v>84</v>
      </c>
      <c r="AN7" s="22" t="s">
        <v>4</v>
      </c>
      <c r="AO7" s="22" t="s">
        <v>83</v>
      </c>
      <c r="AP7" s="22" t="s">
        <v>85</v>
      </c>
      <c r="AQ7" s="22" t="s">
        <v>86</v>
      </c>
      <c r="AR7" s="1"/>
      <c r="AS7" s="22"/>
      <c r="AT7" s="22" t="s">
        <v>3</v>
      </c>
      <c r="AU7" s="22" t="s">
        <v>84</v>
      </c>
      <c r="AV7" s="22" t="s">
        <v>4</v>
      </c>
      <c r="AW7" s="22" t="s">
        <v>83</v>
      </c>
      <c r="AX7" s="22" t="s">
        <v>85</v>
      </c>
      <c r="AY7" s="22" t="s">
        <v>86</v>
      </c>
      <c r="AZ7" s="1"/>
      <c r="BA7" s="22"/>
      <c r="BB7" s="22" t="s">
        <v>3</v>
      </c>
      <c r="BC7" s="22" t="s">
        <v>84</v>
      </c>
      <c r="BD7" s="22" t="s">
        <v>4</v>
      </c>
      <c r="BE7" s="22" t="s">
        <v>83</v>
      </c>
      <c r="BF7" s="22" t="s">
        <v>85</v>
      </c>
      <c r="BG7" s="22" t="s">
        <v>86</v>
      </c>
      <c r="BH7" s="1"/>
      <c r="BI7" s="22"/>
      <c r="BJ7" s="22" t="s">
        <v>3</v>
      </c>
      <c r="BK7" s="22" t="s">
        <v>84</v>
      </c>
      <c r="BL7" s="22" t="s">
        <v>4</v>
      </c>
      <c r="BM7" s="22" t="s">
        <v>83</v>
      </c>
      <c r="BN7" s="22" t="s">
        <v>85</v>
      </c>
      <c r="BO7" s="22" t="s">
        <v>86</v>
      </c>
      <c r="BP7" s="1"/>
      <c r="BQ7" s="22"/>
      <c r="BR7" s="22" t="s">
        <v>3</v>
      </c>
      <c r="BS7" s="22" t="s">
        <v>84</v>
      </c>
      <c r="BT7" s="22" t="s">
        <v>4</v>
      </c>
      <c r="BU7" s="22" t="s">
        <v>83</v>
      </c>
      <c r="BV7" s="22" t="s">
        <v>85</v>
      </c>
      <c r="BW7" s="22" t="s">
        <v>86</v>
      </c>
      <c r="BX7" s="1"/>
      <c r="BY7" s="22"/>
      <c r="BZ7" s="22" t="s">
        <v>3</v>
      </c>
      <c r="CA7" s="22" t="s">
        <v>84</v>
      </c>
      <c r="CB7" s="22" t="s">
        <v>4</v>
      </c>
      <c r="CC7" s="22" t="s">
        <v>83</v>
      </c>
      <c r="CD7" s="22" t="s">
        <v>85</v>
      </c>
      <c r="CE7" s="22" t="s">
        <v>86</v>
      </c>
      <c r="CF7" s="1"/>
      <c r="CG7" s="22"/>
      <c r="CH7" s="22" t="s">
        <v>3</v>
      </c>
      <c r="CI7" s="22" t="s">
        <v>84</v>
      </c>
      <c r="CJ7" s="22" t="s">
        <v>4</v>
      </c>
      <c r="CK7" s="22" t="s">
        <v>83</v>
      </c>
      <c r="CL7" s="22" t="s">
        <v>85</v>
      </c>
      <c r="CM7" s="22" t="s">
        <v>86</v>
      </c>
      <c r="CN7" s="1"/>
      <c r="CO7" s="22"/>
      <c r="CP7" s="22" t="s">
        <v>3</v>
      </c>
      <c r="CQ7" s="22" t="s">
        <v>84</v>
      </c>
      <c r="CR7" s="22" t="s">
        <v>4</v>
      </c>
      <c r="CS7" s="22" t="s">
        <v>83</v>
      </c>
      <c r="CT7" s="22" t="s">
        <v>85</v>
      </c>
      <c r="CU7" s="22" t="s">
        <v>86</v>
      </c>
      <c r="CV7" s="1"/>
      <c r="CW7" s="22"/>
      <c r="CX7" s="22" t="s">
        <v>3</v>
      </c>
      <c r="CY7" s="22" t="s">
        <v>84</v>
      </c>
      <c r="CZ7" s="22" t="s">
        <v>4</v>
      </c>
      <c r="DA7" s="22" t="s">
        <v>83</v>
      </c>
      <c r="DB7" s="22" t="s">
        <v>85</v>
      </c>
      <c r="DC7" s="22" t="s">
        <v>86</v>
      </c>
      <c r="DD7" s="1"/>
      <c r="DE7" s="22"/>
      <c r="DF7" s="22" t="s">
        <v>3</v>
      </c>
      <c r="DG7" s="22" t="s">
        <v>84</v>
      </c>
      <c r="DH7" s="22" t="s">
        <v>4</v>
      </c>
      <c r="DI7" s="22" t="s">
        <v>83</v>
      </c>
      <c r="DJ7" s="22" t="s">
        <v>85</v>
      </c>
      <c r="DK7" s="22" t="s">
        <v>86</v>
      </c>
      <c r="DL7" s="1"/>
      <c r="DM7" s="22"/>
      <c r="DN7" s="22" t="s">
        <v>3</v>
      </c>
      <c r="DO7" s="22" t="s">
        <v>84</v>
      </c>
      <c r="DP7" s="22" t="s">
        <v>4</v>
      </c>
      <c r="DQ7" s="22" t="s">
        <v>83</v>
      </c>
      <c r="DR7" s="22" t="s">
        <v>85</v>
      </c>
      <c r="DS7" s="22" t="s">
        <v>86</v>
      </c>
      <c r="DT7" s="1"/>
      <c r="DU7" s="22"/>
      <c r="DV7" s="22" t="s">
        <v>3</v>
      </c>
      <c r="DW7" s="22" t="s">
        <v>84</v>
      </c>
      <c r="DX7" s="22" t="s">
        <v>4</v>
      </c>
      <c r="DY7" s="22" t="s">
        <v>83</v>
      </c>
      <c r="DZ7" s="22" t="s">
        <v>85</v>
      </c>
      <c r="EA7" s="22" t="s">
        <v>86</v>
      </c>
      <c r="EB7" s="1"/>
      <c r="EC7" s="22"/>
      <c r="ED7" s="22" t="s">
        <v>3</v>
      </c>
      <c r="EE7" s="22" t="s">
        <v>84</v>
      </c>
      <c r="EF7" s="22" t="s">
        <v>4</v>
      </c>
      <c r="EG7" s="22" t="s">
        <v>83</v>
      </c>
      <c r="EH7" s="22" t="s">
        <v>85</v>
      </c>
      <c r="EI7" s="22" t="s">
        <v>86</v>
      </c>
      <c r="EJ7" s="1"/>
      <c r="EK7" s="22"/>
      <c r="EL7" s="22" t="s">
        <v>3</v>
      </c>
      <c r="EM7" s="22" t="s">
        <v>84</v>
      </c>
      <c r="EN7" s="22" t="s">
        <v>4</v>
      </c>
      <c r="EO7" s="22" t="s">
        <v>83</v>
      </c>
      <c r="EP7" s="22" t="s">
        <v>85</v>
      </c>
      <c r="EQ7" s="22" t="s">
        <v>86</v>
      </c>
      <c r="ER7" s="1"/>
      <c r="ES7" s="22"/>
      <c r="ET7" s="22" t="s">
        <v>3</v>
      </c>
      <c r="EU7" s="22" t="s">
        <v>84</v>
      </c>
      <c r="EV7" s="22" t="s">
        <v>4</v>
      </c>
      <c r="EW7" s="22" t="s">
        <v>83</v>
      </c>
      <c r="EX7" s="22" t="s">
        <v>85</v>
      </c>
      <c r="EY7" s="22" t="s">
        <v>86</v>
      </c>
      <c r="EZ7" s="1"/>
      <c r="FA7" s="22"/>
      <c r="FB7" s="22" t="s">
        <v>3</v>
      </c>
      <c r="FC7" s="22" t="s">
        <v>84</v>
      </c>
      <c r="FD7" s="22" t="s">
        <v>4</v>
      </c>
      <c r="FE7" s="22" t="s">
        <v>83</v>
      </c>
      <c r="FF7" s="22" t="s">
        <v>85</v>
      </c>
      <c r="FG7" s="22" t="s">
        <v>86</v>
      </c>
      <c r="FH7" s="1"/>
      <c r="FI7" s="22"/>
      <c r="FJ7" s="22" t="s">
        <v>3</v>
      </c>
      <c r="FK7" s="22" t="s">
        <v>84</v>
      </c>
      <c r="FL7" s="22" t="s">
        <v>4</v>
      </c>
      <c r="FM7" s="22" t="s">
        <v>83</v>
      </c>
      <c r="FN7" s="22" t="s">
        <v>85</v>
      </c>
      <c r="FO7" s="22" t="s">
        <v>86</v>
      </c>
      <c r="FP7" s="1"/>
      <c r="FQ7" s="22"/>
      <c r="FR7" s="22" t="s">
        <v>3</v>
      </c>
      <c r="FS7" s="22" t="s">
        <v>84</v>
      </c>
      <c r="FT7" s="22" t="s">
        <v>4</v>
      </c>
      <c r="FU7" s="22" t="s">
        <v>83</v>
      </c>
      <c r="FV7" s="22" t="s">
        <v>85</v>
      </c>
      <c r="FW7" s="22" t="s">
        <v>86</v>
      </c>
      <c r="FX7" s="1"/>
      <c r="FY7" s="22"/>
      <c r="FZ7" s="22" t="s">
        <v>3</v>
      </c>
      <c r="GA7" s="22" t="s">
        <v>84</v>
      </c>
      <c r="GB7" s="22" t="s">
        <v>4</v>
      </c>
      <c r="GC7" s="22" t="s">
        <v>83</v>
      </c>
      <c r="GD7" s="22" t="s">
        <v>85</v>
      </c>
      <c r="GE7" s="22" t="s">
        <v>86</v>
      </c>
      <c r="GF7" s="1"/>
      <c r="GG7" s="22"/>
      <c r="GH7" s="22" t="s">
        <v>3</v>
      </c>
      <c r="GI7" s="22" t="s">
        <v>84</v>
      </c>
      <c r="GJ7" s="22" t="s">
        <v>4</v>
      </c>
      <c r="GK7" s="22" t="s">
        <v>83</v>
      </c>
      <c r="GL7" s="22" t="s">
        <v>85</v>
      </c>
      <c r="GM7" s="22" t="s">
        <v>86</v>
      </c>
      <c r="GN7" s="1"/>
      <c r="GO7" s="22"/>
      <c r="GP7" s="22" t="s">
        <v>3</v>
      </c>
      <c r="GQ7" s="22" t="s">
        <v>84</v>
      </c>
      <c r="GR7" s="22" t="s">
        <v>4</v>
      </c>
      <c r="GS7" s="22" t="s">
        <v>83</v>
      </c>
      <c r="GT7" s="22" t="s">
        <v>85</v>
      </c>
      <c r="GU7" s="22" t="s">
        <v>86</v>
      </c>
      <c r="GV7" s="1"/>
      <c r="GW7" s="22"/>
      <c r="GX7" s="22" t="s">
        <v>3</v>
      </c>
      <c r="GY7" s="22" t="s">
        <v>84</v>
      </c>
      <c r="GZ7" s="22" t="s">
        <v>4</v>
      </c>
      <c r="HA7" s="22" t="s">
        <v>83</v>
      </c>
      <c r="HB7" s="22" t="s">
        <v>85</v>
      </c>
      <c r="HC7" s="22" t="s">
        <v>86</v>
      </c>
      <c r="HD7" s="1"/>
      <c r="HE7" s="22"/>
      <c r="HF7" s="22" t="s">
        <v>3</v>
      </c>
      <c r="HG7" s="22" t="s">
        <v>84</v>
      </c>
      <c r="HH7" s="22" t="s">
        <v>4</v>
      </c>
      <c r="HI7" s="22" t="s">
        <v>83</v>
      </c>
      <c r="HJ7" s="22" t="s">
        <v>85</v>
      </c>
      <c r="HK7" s="22" t="s">
        <v>86</v>
      </c>
      <c r="HL7" s="1"/>
      <c r="HM7" s="22"/>
      <c r="HN7" s="22" t="s">
        <v>3</v>
      </c>
      <c r="HO7" s="22" t="s">
        <v>84</v>
      </c>
      <c r="HP7" s="22" t="s">
        <v>4</v>
      </c>
      <c r="HQ7" s="22" t="s">
        <v>83</v>
      </c>
      <c r="HR7" s="22" t="s">
        <v>85</v>
      </c>
      <c r="HS7" s="22" t="s">
        <v>86</v>
      </c>
      <c r="HT7" s="1"/>
      <c r="HU7" s="22"/>
      <c r="HV7" s="22" t="s">
        <v>3</v>
      </c>
      <c r="HW7" s="22" t="s">
        <v>84</v>
      </c>
      <c r="HX7" s="22" t="s">
        <v>4</v>
      </c>
      <c r="HY7" s="22" t="s">
        <v>83</v>
      </c>
      <c r="HZ7" s="22" t="s">
        <v>85</v>
      </c>
      <c r="IA7" s="22" t="s">
        <v>86</v>
      </c>
      <c r="IB7" s="1"/>
      <c r="IC7" s="22"/>
      <c r="ID7" s="22" t="s">
        <v>3</v>
      </c>
      <c r="IE7" s="22" t="s">
        <v>84</v>
      </c>
      <c r="IF7" s="22" t="s">
        <v>4</v>
      </c>
      <c r="IG7" s="22" t="s">
        <v>83</v>
      </c>
      <c r="IH7" s="22" t="s">
        <v>85</v>
      </c>
      <c r="II7" s="22" t="s">
        <v>86</v>
      </c>
      <c r="IJ7" s="1"/>
      <c r="IK7" s="22"/>
      <c r="IL7" s="22" t="s">
        <v>3</v>
      </c>
      <c r="IM7" s="22" t="s">
        <v>84</v>
      </c>
      <c r="IN7" s="22" t="s">
        <v>4</v>
      </c>
      <c r="IO7" s="22" t="s">
        <v>83</v>
      </c>
      <c r="IP7" s="22" t="s">
        <v>85</v>
      </c>
      <c r="IQ7" s="22" t="s">
        <v>86</v>
      </c>
      <c r="IR7" s="1"/>
      <c r="IS7" s="22"/>
      <c r="IT7" s="22" t="s">
        <v>3</v>
      </c>
      <c r="IU7" s="22" t="s">
        <v>84</v>
      </c>
      <c r="IV7" s="22" t="s">
        <v>4</v>
      </c>
      <c r="IW7" s="22" t="s">
        <v>83</v>
      </c>
      <c r="IX7" s="22" t="s">
        <v>85</v>
      </c>
      <c r="IY7" s="22" t="s">
        <v>86</v>
      </c>
      <c r="IZ7" s="1"/>
      <c r="JA7" s="22"/>
      <c r="JB7" s="22" t="s">
        <v>3</v>
      </c>
      <c r="JC7" s="22" t="s">
        <v>84</v>
      </c>
      <c r="JD7" s="22" t="s">
        <v>4</v>
      </c>
      <c r="JE7" s="22" t="s">
        <v>83</v>
      </c>
      <c r="JF7" s="22" t="s">
        <v>85</v>
      </c>
      <c r="JG7" s="22" t="s">
        <v>86</v>
      </c>
      <c r="JH7" s="1"/>
      <c r="JI7" s="22"/>
      <c r="JJ7" s="22" t="s">
        <v>3</v>
      </c>
      <c r="JK7" s="22" t="s">
        <v>84</v>
      </c>
      <c r="JL7" s="22" t="s">
        <v>4</v>
      </c>
      <c r="JM7" s="22" t="s">
        <v>83</v>
      </c>
      <c r="JN7" s="22" t="s">
        <v>85</v>
      </c>
      <c r="JO7" s="22" t="s">
        <v>86</v>
      </c>
      <c r="JP7" s="1"/>
      <c r="JQ7" s="22"/>
      <c r="JR7" s="22" t="s">
        <v>3</v>
      </c>
      <c r="JS7" s="22" t="s">
        <v>84</v>
      </c>
      <c r="JT7" s="22" t="s">
        <v>4</v>
      </c>
      <c r="JU7" s="22" t="s">
        <v>83</v>
      </c>
      <c r="JV7" s="22" t="s">
        <v>85</v>
      </c>
      <c r="JW7" s="22" t="s">
        <v>86</v>
      </c>
      <c r="JX7" s="1"/>
      <c r="JY7" s="22"/>
      <c r="JZ7" s="22" t="s">
        <v>3</v>
      </c>
      <c r="KA7" s="22" t="s">
        <v>84</v>
      </c>
      <c r="KB7" s="22" t="s">
        <v>4</v>
      </c>
      <c r="KC7" s="22" t="s">
        <v>83</v>
      </c>
      <c r="KD7" s="22" t="s">
        <v>85</v>
      </c>
      <c r="KE7" s="22" t="s">
        <v>86</v>
      </c>
      <c r="KF7" s="1"/>
      <c r="KG7" s="22"/>
      <c r="KH7" s="22" t="s">
        <v>3</v>
      </c>
      <c r="KI7" s="22" t="s">
        <v>84</v>
      </c>
      <c r="KJ7" s="22" t="s">
        <v>4</v>
      </c>
      <c r="KK7" s="22" t="s">
        <v>83</v>
      </c>
      <c r="KL7" s="22" t="s">
        <v>85</v>
      </c>
      <c r="KM7" s="22" t="s">
        <v>86</v>
      </c>
      <c r="KN7" s="1"/>
      <c r="KO7" s="22"/>
      <c r="KP7" s="22" t="s">
        <v>3</v>
      </c>
      <c r="KQ7" s="22" t="s">
        <v>84</v>
      </c>
      <c r="KR7" s="22" t="s">
        <v>4</v>
      </c>
      <c r="KS7" s="22" t="s">
        <v>83</v>
      </c>
      <c r="KT7" s="22" t="s">
        <v>85</v>
      </c>
      <c r="KU7" s="22" t="s">
        <v>86</v>
      </c>
      <c r="KV7" s="1"/>
      <c r="KW7" s="22"/>
      <c r="KX7" s="22" t="s">
        <v>3</v>
      </c>
      <c r="KY7" s="22" t="s">
        <v>84</v>
      </c>
      <c r="KZ7" s="22" t="s">
        <v>4</v>
      </c>
      <c r="LA7" s="22" t="s">
        <v>83</v>
      </c>
      <c r="LB7" s="22" t="s">
        <v>85</v>
      </c>
      <c r="LC7" s="22" t="s">
        <v>86</v>
      </c>
      <c r="LD7" s="1"/>
      <c r="LE7" s="22"/>
      <c r="LF7" s="22" t="s">
        <v>3</v>
      </c>
      <c r="LG7" s="22" t="s">
        <v>84</v>
      </c>
      <c r="LH7" s="22" t="s">
        <v>4</v>
      </c>
      <c r="LI7" s="22" t="s">
        <v>83</v>
      </c>
      <c r="LJ7" s="22" t="s">
        <v>85</v>
      </c>
      <c r="LK7" s="22" t="s">
        <v>86</v>
      </c>
      <c r="LL7" s="1"/>
      <c r="LM7" s="22"/>
      <c r="LN7" s="22" t="s">
        <v>3</v>
      </c>
      <c r="LO7" s="22" t="s">
        <v>84</v>
      </c>
      <c r="LP7" s="22" t="s">
        <v>4</v>
      </c>
      <c r="LQ7" s="22" t="s">
        <v>83</v>
      </c>
      <c r="LR7" s="22" t="s">
        <v>85</v>
      </c>
      <c r="LS7" s="22" t="s">
        <v>86</v>
      </c>
      <c r="LT7" s="1"/>
      <c r="LU7" s="22"/>
      <c r="LV7" s="22" t="s">
        <v>3</v>
      </c>
      <c r="LW7" s="22" t="s">
        <v>84</v>
      </c>
      <c r="LX7" s="22" t="s">
        <v>4</v>
      </c>
      <c r="LY7" s="22" t="s">
        <v>83</v>
      </c>
      <c r="LZ7" s="22" t="s">
        <v>85</v>
      </c>
      <c r="MA7" s="22" t="s">
        <v>86</v>
      </c>
      <c r="MB7" s="1"/>
      <c r="MC7" s="22"/>
      <c r="MD7" s="22" t="s">
        <v>3</v>
      </c>
      <c r="ME7" s="22" t="s">
        <v>84</v>
      </c>
      <c r="MF7" s="22" t="s">
        <v>4</v>
      </c>
      <c r="MG7" s="22" t="s">
        <v>83</v>
      </c>
      <c r="MH7" s="22" t="s">
        <v>85</v>
      </c>
      <c r="MI7" s="22" t="s">
        <v>86</v>
      </c>
      <c r="MJ7" s="1"/>
      <c r="MK7" s="22"/>
      <c r="ML7" s="22" t="s">
        <v>3</v>
      </c>
      <c r="MM7" s="22" t="s">
        <v>84</v>
      </c>
      <c r="MN7" s="22" t="s">
        <v>4</v>
      </c>
      <c r="MO7" s="22" t="s">
        <v>83</v>
      </c>
      <c r="MP7" s="22" t="s">
        <v>85</v>
      </c>
      <c r="MQ7" s="22" t="s">
        <v>86</v>
      </c>
      <c r="MR7" s="1"/>
      <c r="MS7" s="22"/>
      <c r="MT7" s="22" t="s">
        <v>3</v>
      </c>
      <c r="MU7" s="22" t="s">
        <v>84</v>
      </c>
      <c r="MV7" s="22" t="s">
        <v>4</v>
      </c>
      <c r="MW7" s="22" t="s">
        <v>83</v>
      </c>
      <c r="MX7" s="22" t="s">
        <v>85</v>
      </c>
      <c r="MY7" s="22" t="s">
        <v>86</v>
      </c>
      <c r="MZ7" s="1"/>
      <c r="NA7" s="22"/>
      <c r="NB7" s="22" t="s">
        <v>3</v>
      </c>
      <c r="NC7" s="22" t="s">
        <v>84</v>
      </c>
      <c r="ND7" s="22" t="s">
        <v>4</v>
      </c>
      <c r="NE7" s="22" t="s">
        <v>83</v>
      </c>
      <c r="NF7" s="22" t="s">
        <v>85</v>
      </c>
      <c r="NG7" s="22" t="s">
        <v>86</v>
      </c>
      <c r="NH7" s="1"/>
      <c r="NI7" s="22"/>
      <c r="NJ7" s="22" t="s">
        <v>3</v>
      </c>
      <c r="NK7" s="22" t="s">
        <v>84</v>
      </c>
      <c r="NL7" s="22" t="s">
        <v>4</v>
      </c>
      <c r="NM7" s="22" t="s">
        <v>83</v>
      </c>
      <c r="NN7" s="22" t="s">
        <v>85</v>
      </c>
      <c r="NO7" s="22" t="s">
        <v>86</v>
      </c>
      <c r="NP7" s="1"/>
      <c r="NQ7" s="22"/>
      <c r="NR7" s="22" t="s">
        <v>3</v>
      </c>
      <c r="NS7" s="22" t="s">
        <v>84</v>
      </c>
      <c r="NT7" s="22" t="s">
        <v>4</v>
      </c>
      <c r="NU7" s="22" t="s">
        <v>83</v>
      </c>
      <c r="NV7" s="22" t="s">
        <v>85</v>
      </c>
      <c r="NW7" s="22" t="s">
        <v>86</v>
      </c>
      <c r="NX7" s="1"/>
      <c r="NY7" s="22"/>
      <c r="NZ7" s="22" t="s">
        <v>3</v>
      </c>
      <c r="OA7" s="22" t="s">
        <v>84</v>
      </c>
      <c r="OB7" s="22" t="s">
        <v>4</v>
      </c>
      <c r="OC7" s="22" t="s">
        <v>83</v>
      </c>
      <c r="OD7" s="22" t="s">
        <v>85</v>
      </c>
      <c r="OE7" s="22" t="s">
        <v>86</v>
      </c>
      <c r="OF7" s="1"/>
      <c r="OG7" s="22"/>
      <c r="OH7" s="22" t="s">
        <v>3</v>
      </c>
      <c r="OI7" s="22" t="s">
        <v>84</v>
      </c>
      <c r="OJ7" s="22" t="s">
        <v>4</v>
      </c>
      <c r="OK7" s="22" t="s">
        <v>83</v>
      </c>
      <c r="OL7" s="22" t="s">
        <v>85</v>
      </c>
      <c r="OM7" s="22" t="s">
        <v>86</v>
      </c>
      <c r="ON7" s="1"/>
      <c r="OO7" s="22"/>
      <c r="OP7" s="22" t="s">
        <v>3</v>
      </c>
      <c r="OQ7" s="22" t="s">
        <v>84</v>
      </c>
      <c r="OR7" s="22" t="s">
        <v>4</v>
      </c>
      <c r="OS7" s="22" t="s">
        <v>83</v>
      </c>
      <c r="OT7" s="22" t="s">
        <v>85</v>
      </c>
      <c r="OU7" s="22" t="s">
        <v>86</v>
      </c>
      <c r="OV7" s="1"/>
      <c r="OW7" s="22"/>
      <c r="OX7" s="22" t="s">
        <v>3</v>
      </c>
      <c r="OY7" s="22" t="s">
        <v>84</v>
      </c>
      <c r="OZ7" s="22" t="s">
        <v>4</v>
      </c>
      <c r="PA7" s="22" t="s">
        <v>83</v>
      </c>
      <c r="PB7" s="22" t="s">
        <v>85</v>
      </c>
      <c r="PC7" s="22" t="s">
        <v>86</v>
      </c>
      <c r="PD7" s="1"/>
      <c r="PE7" s="22"/>
      <c r="PF7" s="22" t="s">
        <v>3</v>
      </c>
      <c r="PG7" s="22" t="s">
        <v>84</v>
      </c>
      <c r="PH7" s="22" t="s">
        <v>4</v>
      </c>
      <c r="PI7" s="22" t="s">
        <v>83</v>
      </c>
      <c r="PJ7" s="22" t="s">
        <v>85</v>
      </c>
      <c r="PK7" s="22" t="s">
        <v>86</v>
      </c>
      <c r="PL7" s="1"/>
      <c r="PM7" s="22"/>
      <c r="PN7" s="22" t="s">
        <v>3</v>
      </c>
      <c r="PO7" s="22" t="s">
        <v>84</v>
      </c>
      <c r="PP7" s="22" t="s">
        <v>4</v>
      </c>
      <c r="PQ7" s="22" t="s">
        <v>83</v>
      </c>
      <c r="PR7" s="22" t="s">
        <v>85</v>
      </c>
      <c r="PS7" s="22" t="s">
        <v>86</v>
      </c>
      <c r="PT7" s="1"/>
      <c r="PU7" s="22"/>
      <c r="PV7" s="22" t="s">
        <v>3</v>
      </c>
      <c r="PW7" s="22" t="s">
        <v>84</v>
      </c>
      <c r="PX7" s="22" t="s">
        <v>4</v>
      </c>
      <c r="PY7" s="22" t="s">
        <v>83</v>
      </c>
      <c r="PZ7" s="22" t="s">
        <v>85</v>
      </c>
      <c r="QA7" s="22" t="s">
        <v>86</v>
      </c>
      <c r="QB7" s="1"/>
      <c r="QC7" s="22"/>
      <c r="QD7" s="22" t="s">
        <v>3</v>
      </c>
      <c r="QE7" s="22" t="s">
        <v>84</v>
      </c>
      <c r="QF7" s="22" t="s">
        <v>4</v>
      </c>
      <c r="QG7" s="22" t="s">
        <v>83</v>
      </c>
      <c r="QH7" s="22" t="s">
        <v>85</v>
      </c>
      <c r="QI7" s="22" t="s">
        <v>86</v>
      </c>
      <c r="QJ7" s="1"/>
      <c r="QK7" s="22"/>
      <c r="QL7" s="22" t="s">
        <v>3</v>
      </c>
      <c r="QM7" s="22" t="s">
        <v>84</v>
      </c>
      <c r="QN7" s="22" t="s">
        <v>4</v>
      </c>
      <c r="QO7" s="22" t="s">
        <v>83</v>
      </c>
      <c r="QP7" s="22" t="s">
        <v>85</v>
      </c>
      <c r="QQ7" s="22" t="s">
        <v>86</v>
      </c>
      <c r="QR7" s="1"/>
      <c r="QS7" s="22"/>
      <c r="QT7" s="22" t="s">
        <v>3</v>
      </c>
      <c r="QU7" s="22" t="s">
        <v>84</v>
      </c>
      <c r="QV7" s="22" t="s">
        <v>4</v>
      </c>
      <c r="QW7" s="22" t="s">
        <v>83</v>
      </c>
      <c r="QX7" s="22" t="s">
        <v>85</v>
      </c>
      <c r="QY7" s="22" t="s">
        <v>86</v>
      </c>
      <c r="QZ7" s="1"/>
      <c r="RA7" s="22"/>
      <c r="RB7" s="22" t="s">
        <v>3</v>
      </c>
      <c r="RC7" s="22" t="s">
        <v>84</v>
      </c>
      <c r="RD7" s="22" t="s">
        <v>4</v>
      </c>
      <c r="RE7" s="22" t="s">
        <v>83</v>
      </c>
      <c r="RF7" s="22" t="s">
        <v>85</v>
      </c>
      <c r="RG7" s="22" t="s">
        <v>86</v>
      </c>
      <c r="RH7" s="1"/>
      <c r="RI7" s="22"/>
      <c r="RJ7" s="22" t="s">
        <v>3</v>
      </c>
      <c r="RK7" s="22" t="s">
        <v>84</v>
      </c>
      <c r="RL7" s="22" t="s">
        <v>4</v>
      </c>
      <c r="RM7" s="22" t="s">
        <v>83</v>
      </c>
      <c r="RN7" s="22" t="s">
        <v>85</v>
      </c>
      <c r="RO7" s="22" t="s">
        <v>86</v>
      </c>
      <c r="RP7" s="1"/>
      <c r="RQ7" s="22"/>
      <c r="RR7" s="22" t="s">
        <v>3</v>
      </c>
      <c r="RS7" s="22" t="s">
        <v>84</v>
      </c>
      <c r="RT7" s="22" t="s">
        <v>4</v>
      </c>
      <c r="RU7" s="22" t="s">
        <v>83</v>
      </c>
      <c r="RV7" s="22" t="s">
        <v>85</v>
      </c>
      <c r="RW7" s="22" t="s">
        <v>86</v>
      </c>
      <c r="RX7" s="1"/>
      <c r="RY7" s="22"/>
      <c r="RZ7" s="22" t="s">
        <v>3</v>
      </c>
      <c r="SA7" s="22" t="s">
        <v>84</v>
      </c>
      <c r="SB7" s="22" t="s">
        <v>4</v>
      </c>
      <c r="SC7" s="22" t="s">
        <v>83</v>
      </c>
      <c r="SD7" s="22" t="s">
        <v>85</v>
      </c>
      <c r="SE7" s="22" t="s">
        <v>86</v>
      </c>
      <c r="SF7" s="1"/>
      <c r="SG7" s="22"/>
      <c r="SH7" s="22" t="s">
        <v>3</v>
      </c>
      <c r="SI7" s="22" t="s">
        <v>84</v>
      </c>
      <c r="SJ7" s="22" t="s">
        <v>4</v>
      </c>
      <c r="SK7" s="22" t="s">
        <v>83</v>
      </c>
      <c r="SL7" s="22" t="s">
        <v>85</v>
      </c>
      <c r="SM7" s="22" t="s">
        <v>86</v>
      </c>
      <c r="SN7" s="1"/>
      <c r="SO7" s="22"/>
      <c r="SP7" s="22" t="s">
        <v>3</v>
      </c>
      <c r="SQ7" s="22" t="s">
        <v>84</v>
      </c>
      <c r="SR7" s="22" t="s">
        <v>4</v>
      </c>
      <c r="SS7" s="22" t="s">
        <v>83</v>
      </c>
      <c r="ST7" s="22" t="s">
        <v>85</v>
      </c>
      <c r="SU7" s="22" t="s">
        <v>86</v>
      </c>
      <c r="SV7" s="1"/>
      <c r="SW7" s="22"/>
      <c r="SX7" s="22" t="s">
        <v>3</v>
      </c>
      <c r="SY7" s="22" t="s">
        <v>84</v>
      </c>
      <c r="SZ7" s="22" t="s">
        <v>4</v>
      </c>
      <c r="TA7" s="22" t="s">
        <v>83</v>
      </c>
      <c r="TB7" s="22" t="s">
        <v>85</v>
      </c>
      <c r="TC7" s="22" t="s">
        <v>86</v>
      </c>
      <c r="TD7" s="1"/>
      <c r="TE7" s="22"/>
      <c r="TF7" s="22" t="s">
        <v>3</v>
      </c>
      <c r="TG7" s="22" t="s">
        <v>84</v>
      </c>
      <c r="TH7" s="22" t="s">
        <v>4</v>
      </c>
      <c r="TI7" s="22" t="s">
        <v>83</v>
      </c>
      <c r="TJ7" s="22" t="s">
        <v>85</v>
      </c>
      <c r="TK7" s="22" t="s">
        <v>86</v>
      </c>
      <c r="TL7" s="1"/>
      <c r="TM7" s="22"/>
      <c r="TN7" s="22" t="s">
        <v>3</v>
      </c>
      <c r="TO7" s="22" t="s">
        <v>84</v>
      </c>
      <c r="TP7" s="22" t="s">
        <v>4</v>
      </c>
      <c r="TQ7" s="22" t="s">
        <v>83</v>
      </c>
      <c r="TR7" s="22" t="s">
        <v>85</v>
      </c>
      <c r="TS7" s="22" t="s">
        <v>86</v>
      </c>
      <c r="TT7" s="1"/>
      <c r="TU7" s="22"/>
      <c r="TV7" s="22" t="s">
        <v>3</v>
      </c>
      <c r="TW7" s="22" t="s">
        <v>84</v>
      </c>
      <c r="TX7" s="22" t="s">
        <v>4</v>
      </c>
      <c r="TY7" s="22" t="s">
        <v>83</v>
      </c>
      <c r="TZ7" s="22" t="s">
        <v>85</v>
      </c>
      <c r="UA7" s="22" t="s">
        <v>86</v>
      </c>
      <c r="UB7" s="1"/>
      <c r="UC7" s="22"/>
      <c r="UD7" s="22" t="s">
        <v>3</v>
      </c>
      <c r="UE7" s="22" t="s">
        <v>84</v>
      </c>
      <c r="UF7" s="22" t="s">
        <v>4</v>
      </c>
      <c r="UG7" s="22" t="s">
        <v>83</v>
      </c>
      <c r="UH7" s="22" t="s">
        <v>85</v>
      </c>
      <c r="UI7" s="22" t="s">
        <v>86</v>
      </c>
      <c r="UJ7" s="1"/>
      <c r="UK7" s="22"/>
      <c r="UL7" s="22" t="s">
        <v>3</v>
      </c>
      <c r="UM7" s="22" t="s">
        <v>84</v>
      </c>
      <c r="UN7" s="22" t="s">
        <v>4</v>
      </c>
      <c r="UO7" s="22" t="s">
        <v>83</v>
      </c>
      <c r="UP7" s="22" t="s">
        <v>85</v>
      </c>
      <c r="UQ7" s="22" t="s">
        <v>86</v>
      </c>
      <c r="UR7" s="1"/>
      <c r="US7" s="22"/>
      <c r="UT7" s="22" t="s">
        <v>3</v>
      </c>
      <c r="UU7" s="22" t="s">
        <v>84</v>
      </c>
      <c r="UV7" s="22" t="s">
        <v>4</v>
      </c>
      <c r="UW7" s="22" t="s">
        <v>83</v>
      </c>
      <c r="UX7" s="22" t="s">
        <v>85</v>
      </c>
      <c r="UY7" s="22" t="s">
        <v>86</v>
      </c>
      <c r="UZ7" s="1"/>
      <c r="VA7" s="22"/>
      <c r="VB7" s="22" t="s">
        <v>3</v>
      </c>
      <c r="VC7" s="22" t="s">
        <v>84</v>
      </c>
      <c r="VD7" s="22" t="s">
        <v>4</v>
      </c>
      <c r="VE7" s="22" t="s">
        <v>83</v>
      </c>
      <c r="VF7" s="22" t="s">
        <v>85</v>
      </c>
      <c r="VG7" s="22" t="s">
        <v>86</v>
      </c>
      <c r="VH7" s="1"/>
      <c r="VI7" s="22"/>
      <c r="VJ7" s="22" t="s">
        <v>3</v>
      </c>
      <c r="VK7" s="22" t="s">
        <v>84</v>
      </c>
      <c r="VL7" s="22" t="s">
        <v>4</v>
      </c>
      <c r="VM7" s="22" t="s">
        <v>83</v>
      </c>
      <c r="VN7" s="22" t="s">
        <v>85</v>
      </c>
      <c r="VO7" s="22" t="s">
        <v>86</v>
      </c>
      <c r="VP7" s="1"/>
      <c r="VQ7" s="22"/>
      <c r="VR7" s="22" t="s">
        <v>3</v>
      </c>
      <c r="VS7" s="22" t="s">
        <v>84</v>
      </c>
      <c r="VT7" s="22" t="s">
        <v>4</v>
      </c>
      <c r="VU7" s="22" t="s">
        <v>83</v>
      </c>
      <c r="VV7" s="22" t="s">
        <v>85</v>
      </c>
      <c r="VW7" s="22" t="s">
        <v>86</v>
      </c>
      <c r="VX7" s="1"/>
      <c r="VY7" s="22"/>
      <c r="VZ7" s="22" t="s">
        <v>3</v>
      </c>
      <c r="WA7" s="22" t="s">
        <v>84</v>
      </c>
      <c r="WB7" s="22" t="s">
        <v>4</v>
      </c>
      <c r="WC7" s="22" t="s">
        <v>83</v>
      </c>
      <c r="WD7" s="22" t="s">
        <v>85</v>
      </c>
      <c r="WE7" s="22" t="s">
        <v>86</v>
      </c>
      <c r="WF7" s="1"/>
      <c r="WG7" s="22"/>
      <c r="WH7" s="22" t="s">
        <v>3</v>
      </c>
      <c r="WI7" s="22" t="s">
        <v>84</v>
      </c>
      <c r="WJ7" s="22" t="s">
        <v>4</v>
      </c>
      <c r="WK7" s="22" t="s">
        <v>83</v>
      </c>
      <c r="WL7" s="22" t="s">
        <v>85</v>
      </c>
      <c r="WM7" s="22" t="s">
        <v>86</v>
      </c>
      <c r="WN7" s="1"/>
      <c r="WO7" s="22"/>
      <c r="WP7" s="22" t="s">
        <v>3</v>
      </c>
      <c r="WQ7" s="22" t="s">
        <v>84</v>
      </c>
      <c r="WR7" s="22" t="s">
        <v>4</v>
      </c>
      <c r="WS7" s="22" t="s">
        <v>83</v>
      </c>
      <c r="WT7" s="22" t="s">
        <v>85</v>
      </c>
      <c r="WU7" s="22" t="s">
        <v>86</v>
      </c>
      <c r="WV7" s="1"/>
      <c r="WW7" s="22"/>
      <c r="WX7" s="22" t="s">
        <v>3</v>
      </c>
      <c r="WY7" s="22" t="s">
        <v>84</v>
      </c>
      <c r="WZ7" s="22" t="s">
        <v>4</v>
      </c>
      <c r="XA7" s="22" t="s">
        <v>83</v>
      </c>
      <c r="XB7" s="22" t="s">
        <v>85</v>
      </c>
      <c r="XC7" s="22" t="s">
        <v>86</v>
      </c>
      <c r="XD7" s="1"/>
      <c r="XE7" s="22"/>
      <c r="XF7" s="22" t="s">
        <v>3</v>
      </c>
      <c r="XG7" s="22" t="s">
        <v>84</v>
      </c>
      <c r="XH7" s="22" t="s">
        <v>4</v>
      </c>
      <c r="XI7" s="22" t="s">
        <v>83</v>
      </c>
      <c r="XJ7" s="22" t="s">
        <v>85</v>
      </c>
      <c r="XK7" s="22" t="s">
        <v>86</v>
      </c>
      <c r="XL7" s="1"/>
      <c r="XM7" s="22"/>
      <c r="XN7" s="22" t="s">
        <v>3</v>
      </c>
      <c r="XO7" s="22" t="s">
        <v>84</v>
      </c>
      <c r="XP7" s="22" t="s">
        <v>4</v>
      </c>
      <c r="XQ7" s="22" t="s">
        <v>83</v>
      </c>
      <c r="XR7" s="22" t="s">
        <v>85</v>
      </c>
      <c r="XS7" s="22" t="s">
        <v>86</v>
      </c>
      <c r="XT7" s="1"/>
    </row>
    <row r="8" spans="1:644" x14ac:dyDescent="0.25">
      <c r="A8" s="2"/>
      <c r="F8" s="3"/>
      <c r="P8" s="1"/>
      <c r="Q8" s="2"/>
      <c r="U8" s="1"/>
      <c r="V8" s="2" t="s">
        <v>3</v>
      </c>
      <c r="W8" s="3"/>
      <c r="X8" s="3"/>
      <c r="Y8" s="3"/>
      <c r="Z8" s="3"/>
      <c r="AA8" s="1"/>
      <c r="AC8" s="22"/>
      <c r="AD8" s="3"/>
      <c r="AE8" s="3"/>
      <c r="AF8" s="3"/>
      <c r="AG8" s="3"/>
      <c r="AH8" s="3"/>
      <c r="AI8" s="3"/>
      <c r="AJ8" s="1"/>
      <c r="AK8" s="22"/>
      <c r="AL8" s="3"/>
      <c r="AM8" s="3"/>
      <c r="AN8" s="3"/>
      <c r="AO8" s="3"/>
      <c r="AP8" s="3"/>
      <c r="AQ8" s="3"/>
      <c r="AR8" s="1"/>
      <c r="AS8" s="22"/>
      <c r="AT8" s="3"/>
      <c r="AU8" s="3"/>
      <c r="AV8" s="3"/>
      <c r="AW8" s="3"/>
      <c r="AX8" s="3"/>
      <c r="AY8" s="3"/>
      <c r="AZ8" s="1"/>
      <c r="BA8" s="22"/>
      <c r="BB8" s="3"/>
      <c r="BC8" s="3"/>
      <c r="BD8" s="3"/>
      <c r="BE8" s="3"/>
      <c r="BF8" s="3"/>
      <c r="BG8" s="3"/>
      <c r="BH8" s="1"/>
      <c r="BI8" s="22"/>
      <c r="BJ8" s="3"/>
      <c r="BK8" s="3"/>
      <c r="BL8" s="3"/>
      <c r="BM8" s="3"/>
      <c r="BN8" s="3"/>
      <c r="BO8" s="3"/>
      <c r="BP8" s="1"/>
      <c r="BQ8" s="22"/>
      <c r="BR8" s="3"/>
      <c r="BS8" s="3"/>
      <c r="BT8" s="3"/>
      <c r="BU8" s="3"/>
      <c r="BV8" s="3"/>
      <c r="BW8" s="3"/>
      <c r="BX8" s="1"/>
      <c r="BY8" s="22"/>
      <c r="BZ8" s="3"/>
      <c r="CA8" s="3"/>
      <c r="CB8" s="3"/>
      <c r="CC8" s="3"/>
      <c r="CD8" s="3"/>
      <c r="CE8" s="3"/>
      <c r="CF8" s="1"/>
      <c r="CG8" s="22"/>
      <c r="CH8" s="3"/>
      <c r="CI8" s="3"/>
      <c r="CJ8" s="3"/>
      <c r="CK8" s="3"/>
      <c r="CL8" s="3"/>
      <c r="CM8" s="3"/>
      <c r="CN8" s="1"/>
      <c r="CO8" s="22"/>
      <c r="CP8" s="3"/>
      <c r="CQ8" s="3"/>
      <c r="CR8" s="3"/>
      <c r="CS8" s="3"/>
      <c r="CT8" s="3"/>
      <c r="CU8" s="3"/>
      <c r="CV8" s="1"/>
      <c r="CW8" s="22"/>
      <c r="CX8" s="3"/>
      <c r="CY8" s="3"/>
      <c r="CZ8" s="3"/>
      <c r="DA8" s="3"/>
      <c r="DB8" s="3"/>
      <c r="DC8" s="3"/>
      <c r="DD8" s="1"/>
      <c r="DE8" s="22"/>
      <c r="DF8" s="3"/>
      <c r="DG8" s="3"/>
      <c r="DH8" s="3"/>
      <c r="DI8" s="3"/>
      <c r="DJ8" s="3"/>
      <c r="DK8" s="3"/>
      <c r="DL8" s="1"/>
      <c r="DM8" s="22"/>
      <c r="DN8" s="3"/>
      <c r="DO8" s="3"/>
      <c r="DP8" s="3"/>
      <c r="DQ8" s="3"/>
      <c r="DR8" s="3"/>
      <c r="DS8" s="3"/>
      <c r="DT8" s="1"/>
      <c r="DU8" s="22"/>
      <c r="DV8" s="3"/>
      <c r="DW8" s="3"/>
      <c r="DX8" s="3"/>
      <c r="DY8" s="3"/>
      <c r="DZ8" s="3"/>
      <c r="EA8" s="3"/>
      <c r="EB8" s="1"/>
      <c r="EC8" s="22"/>
      <c r="ED8" s="3"/>
      <c r="EE8" s="3"/>
      <c r="EF8" s="3"/>
      <c r="EG8" s="3"/>
      <c r="EH8" s="3"/>
      <c r="EI8" s="3"/>
      <c r="EJ8" s="1"/>
      <c r="EK8" s="22"/>
      <c r="EL8" s="3"/>
      <c r="EM8" s="3"/>
      <c r="EN8" s="3"/>
      <c r="EO8" s="3"/>
      <c r="EP8" s="3"/>
      <c r="EQ8" s="3"/>
      <c r="ER8" s="1"/>
      <c r="ES8" s="22"/>
      <c r="ET8" s="3"/>
      <c r="EU8" s="3"/>
      <c r="EV8" s="3"/>
      <c r="EW8" s="3"/>
      <c r="EX8" s="3"/>
      <c r="EY8" s="3"/>
      <c r="EZ8" s="1"/>
      <c r="FA8" s="22"/>
      <c r="FB8" s="3"/>
      <c r="FC8" s="3"/>
      <c r="FD8" s="3"/>
      <c r="FE8" s="3"/>
      <c r="FF8" s="3"/>
      <c r="FG8" s="3"/>
      <c r="FH8" s="1"/>
      <c r="FI8" s="22"/>
      <c r="FJ8" s="3"/>
      <c r="FK8" s="3"/>
      <c r="FL8" s="3"/>
      <c r="FM8" s="3"/>
      <c r="FN8" s="3"/>
      <c r="FO8" s="3"/>
      <c r="FP8" s="1"/>
      <c r="FQ8" s="22"/>
      <c r="FR8" s="3"/>
      <c r="FS8" s="3"/>
      <c r="FT8" s="3"/>
      <c r="FU8" s="3"/>
      <c r="FV8" s="3"/>
      <c r="FW8" s="3"/>
      <c r="FX8" s="1"/>
      <c r="FY8" s="22"/>
      <c r="FZ8" s="3"/>
      <c r="GA8" s="3"/>
      <c r="GB8" s="3"/>
      <c r="GC8" s="3"/>
      <c r="GD8" s="3"/>
      <c r="GE8" s="3"/>
      <c r="GF8" s="1"/>
      <c r="GG8" s="22"/>
      <c r="GH8" s="3"/>
      <c r="GI8" s="3"/>
      <c r="GJ8" s="3"/>
      <c r="GK8" s="3"/>
      <c r="GL8" s="3"/>
      <c r="GM8" s="3"/>
      <c r="GN8" s="1"/>
      <c r="GO8" s="22"/>
      <c r="GP8" s="3"/>
      <c r="GQ8" s="3"/>
      <c r="GR8" s="3"/>
      <c r="GS8" s="3"/>
      <c r="GT8" s="3"/>
      <c r="GU8" s="3"/>
      <c r="GV8" s="1"/>
      <c r="GW8" s="22"/>
      <c r="GX8" s="3"/>
      <c r="GY8" s="3"/>
      <c r="GZ8" s="3"/>
      <c r="HA8" s="3"/>
      <c r="HB8" s="3"/>
      <c r="HC8" s="3"/>
      <c r="HD8" s="1"/>
      <c r="HE8" s="22"/>
      <c r="HF8" s="3"/>
      <c r="HG8" s="3"/>
      <c r="HH8" s="3"/>
      <c r="HI8" s="3"/>
      <c r="HJ8" s="3"/>
      <c r="HK8" s="3"/>
      <c r="HL8" s="1"/>
      <c r="HM8" s="22"/>
      <c r="HN8" s="3"/>
      <c r="HO8" s="3"/>
      <c r="HP8" s="3"/>
      <c r="HQ8" s="3"/>
      <c r="HR8" s="3"/>
      <c r="HS8" s="3"/>
      <c r="HT8" s="1"/>
      <c r="HU8" s="22"/>
      <c r="HV8" s="3"/>
      <c r="HW8" s="3"/>
      <c r="HX8" s="3"/>
      <c r="HY8" s="3"/>
      <c r="HZ8" s="3"/>
      <c r="IA8" s="3"/>
      <c r="IB8" s="1"/>
      <c r="IC8" s="22"/>
      <c r="ID8" s="3"/>
      <c r="IE8" s="3"/>
      <c r="IF8" s="3"/>
      <c r="IG8" s="3"/>
      <c r="IH8" s="3"/>
      <c r="II8" s="3"/>
      <c r="IJ8" s="1"/>
      <c r="IK8" s="22"/>
      <c r="IL8" s="3"/>
      <c r="IM8" s="3"/>
      <c r="IN8" s="3"/>
      <c r="IO8" s="3"/>
      <c r="IP8" s="3"/>
      <c r="IQ8" s="3"/>
      <c r="IR8" s="1"/>
      <c r="IS8" s="22"/>
      <c r="IT8" s="3"/>
      <c r="IU8" s="3"/>
      <c r="IV8" s="3"/>
      <c r="IW8" s="3"/>
      <c r="IX8" s="3"/>
      <c r="IY8" s="3"/>
      <c r="IZ8" s="1"/>
      <c r="JA8" s="22"/>
      <c r="JB8" s="3"/>
      <c r="JC8" s="3"/>
      <c r="JD8" s="3"/>
      <c r="JE8" s="3"/>
      <c r="JF8" s="3"/>
      <c r="JG8" s="3"/>
      <c r="JH8" s="1"/>
      <c r="JI8" s="22"/>
      <c r="JJ8" s="3"/>
      <c r="JK8" s="3"/>
      <c r="JL8" s="3"/>
      <c r="JM8" s="3"/>
      <c r="JN8" s="3"/>
      <c r="JO8" s="3"/>
      <c r="JP8" s="1"/>
      <c r="JQ8" s="22"/>
      <c r="JR8" s="3"/>
      <c r="JS8" s="3"/>
      <c r="JT8" s="3"/>
      <c r="JU8" s="3"/>
      <c r="JV8" s="3"/>
      <c r="JW8" s="3"/>
      <c r="JX8" s="1"/>
      <c r="JY8" s="22"/>
      <c r="JZ8" s="3"/>
      <c r="KA8" s="3"/>
      <c r="KB8" s="3"/>
      <c r="KC8" s="3"/>
      <c r="KD8" s="3"/>
      <c r="KE8" s="3"/>
      <c r="KF8" s="1"/>
      <c r="KG8" s="22"/>
      <c r="KH8" s="3"/>
      <c r="KI8" s="3"/>
      <c r="KJ8" s="3"/>
      <c r="KK8" s="3"/>
      <c r="KL8" s="3"/>
      <c r="KM8" s="3"/>
      <c r="KN8" s="1"/>
      <c r="KO8" s="22"/>
      <c r="KP8" s="3"/>
      <c r="KQ8" s="3"/>
      <c r="KR8" s="3"/>
      <c r="KS8" s="3"/>
      <c r="KT8" s="3"/>
      <c r="KU8" s="3"/>
      <c r="KV8" s="1"/>
      <c r="KW8" s="22"/>
      <c r="KX8" s="3"/>
      <c r="KY8" s="3"/>
      <c r="KZ8" s="3"/>
      <c r="LA8" s="3"/>
      <c r="LB8" s="3"/>
      <c r="LC8" s="3"/>
      <c r="LD8" s="1"/>
      <c r="LE8" s="22"/>
      <c r="LF8" s="3"/>
      <c r="LG8" s="3"/>
      <c r="LH8" s="3"/>
      <c r="LI8" s="3"/>
      <c r="LJ8" s="3"/>
      <c r="LK8" s="3"/>
      <c r="LL8" s="1"/>
      <c r="LM8" s="22"/>
      <c r="LN8" s="3"/>
      <c r="LO8" s="3"/>
      <c r="LP8" s="3"/>
      <c r="LQ8" s="3"/>
      <c r="LR8" s="3"/>
      <c r="LS8" s="3"/>
      <c r="LT8" s="1"/>
      <c r="LU8" s="22"/>
      <c r="LV8" s="3"/>
      <c r="LW8" s="3"/>
      <c r="LX8" s="3"/>
      <c r="LY8" s="3"/>
      <c r="LZ8" s="3"/>
      <c r="MA8" s="3"/>
      <c r="MB8" s="1"/>
      <c r="MC8" s="22"/>
      <c r="MD8" s="3"/>
      <c r="ME8" s="3"/>
      <c r="MF8" s="3"/>
      <c r="MG8" s="3"/>
      <c r="MH8" s="3"/>
      <c r="MI8" s="3"/>
      <c r="MJ8" s="1"/>
      <c r="MK8" s="22"/>
      <c r="ML8" s="3"/>
      <c r="MM8" s="3"/>
      <c r="MN8" s="3"/>
      <c r="MO8" s="3"/>
      <c r="MP8" s="3"/>
      <c r="MQ8" s="3"/>
      <c r="MR8" s="1"/>
      <c r="MS8" s="22"/>
      <c r="MT8" s="3"/>
      <c r="MU8" s="3"/>
      <c r="MV8" s="3"/>
      <c r="MW8" s="3"/>
      <c r="MX8" s="3"/>
      <c r="MY8" s="3"/>
      <c r="MZ8" s="1"/>
      <c r="NA8" s="22"/>
      <c r="NB8" s="3"/>
      <c r="NC8" s="3"/>
      <c r="ND8" s="3"/>
      <c r="NE8" s="3"/>
      <c r="NF8" s="3"/>
      <c r="NG8" s="3"/>
      <c r="NH8" s="1"/>
      <c r="NI8" s="22"/>
      <c r="NJ8" s="3"/>
      <c r="NK8" s="3"/>
      <c r="NL8" s="3"/>
      <c r="NM8" s="3"/>
      <c r="NN8" s="3"/>
      <c r="NO8" s="3"/>
      <c r="NP8" s="1"/>
      <c r="NQ8" s="22"/>
      <c r="NR8" s="3"/>
      <c r="NS8" s="3"/>
      <c r="NT8" s="3"/>
      <c r="NU8" s="3"/>
      <c r="NV8" s="3"/>
      <c r="NW8" s="3"/>
      <c r="NX8" s="1"/>
      <c r="NY8" s="22"/>
      <c r="NZ8" s="3"/>
      <c r="OA8" s="3"/>
      <c r="OB8" s="3"/>
      <c r="OC8" s="3"/>
      <c r="OD8" s="3"/>
      <c r="OE8" s="3"/>
      <c r="OF8" s="1"/>
      <c r="OG8" s="22"/>
      <c r="OH8" s="3"/>
      <c r="OI8" s="3"/>
      <c r="OJ8" s="3"/>
      <c r="OK8" s="3"/>
      <c r="OL8" s="3"/>
      <c r="OM8" s="3"/>
      <c r="ON8" s="1"/>
      <c r="OO8" s="22"/>
      <c r="OP8" s="3"/>
      <c r="OQ8" s="3"/>
      <c r="OR8" s="3"/>
      <c r="OS8" s="3"/>
      <c r="OT8" s="3"/>
      <c r="OU8" s="3"/>
      <c r="OV8" s="1"/>
      <c r="OW8" s="22"/>
      <c r="OX8" s="3"/>
      <c r="OY8" s="3"/>
      <c r="OZ8" s="3"/>
      <c r="PA8" s="3"/>
      <c r="PB8" s="3"/>
      <c r="PC8" s="3"/>
      <c r="PD8" s="1"/>
      <c r="PE8" s="22"/>
      <c r="PF8" s="3"/>
      <c r="PG8" s="3"/>
      <c r="PH8" s="3"/>
      <c r="PI8" s="3"/>
      <c r="PJ8" s="3"/>
      <c r="PK8" s="3"/>
      <c r="PL8" s="1"/>
      <c r="PM8" s="22"/>
      <c r="PN8" s="3"/>
      <c r="PO8" s="3"/>
      <c r="PP8" s="3"/>
      <c r="PQ8" s="3"/>
      <c r="PR8" s="3"/>
      <c r="PS8" s="3"/>
      <c r="PT8" s="1"/>
      <c r="PU8" s="22"/>
      <c r="PV8" s="3"/>
      <c r="PW8" s="3"/>
      <c r="PX8" s="3"/>
      <c r="PY8" s="3"/>
      <c r="PZ8" s="3"/>
      <c r="QA8" s="3"/>
      <c r="QB8" s="1"/>
      <c r="QC8" s="22"/>
      <c r="QD8" s="3"/>
      <c r="QE8" s="3"/>
      <c r="QF8" s="3"/>
      <c r="QG8" s="3"/>
      <c r="QH8" s="3"/>
      <c r="QI8" s="3"/>
      <c r="QJ8" s="1"/>
      <c r="QK8" s="22"/>
      <c r="QL8" s="3"/>
      <c r="QM8" s="3"/>
      <c r="QN8" s="3"/>
      <c r="QO8" s="3"/>
      <c r="QP8" s="3"/>
      <c r="QQ8" s="3"/>
      <c r="QR8" s="1"/>
      <c r="QS8" s="22"/>
      <c r="QT8" s="3"/>
      <c r="QU8" s="3"/>
      <c r="QV8" s="3"/>
      <c r="QW8" s="3"/>
      <c r="QX8" s="3"/>
      <c r="QY8" s="3"/>
      <c r="QZ8" s="1"/>
      <c r="RA8" s="22"/>
      <c r="RB8" s="3"/>
      <c r="RC8" s="3"/>
      <c r="RD8" s="3"/>
      <c r="RE8" s="3"/>
      <c r="RF8" s="3"/>
      <c r="RG8" s="3"/>
      <c r="RH8" s="1"/>
      <c r="RI8" s="22"/>
      <c r="RJ8" s="3"/>
      <c r="RK8" s="3"/>
      <c r="RL8" s="3"/>
      <c r="RM8" s="3"/>
      <c r="RN8" s="3"/>
      <c r="RO8" s="3"/>
      <c r="RP8" s="1"/>
      <c r="RQ8" s="22"/>
      <c r="RR8" s="3"/>
      <c r="RS8" s="3"/>
      <c r="RT8" s="3"/>
      <c r="RU8" s="3"/>
      <c r="RV8" s="3"/>
      <c r="RW8" s="3"/>
      <c r="RX8" s="1"/>
      <c r="RY8" s="22"/>
      <c r="RZ8" s="3"/>
      <c r="SA8" s="3"/>
      <c r="SB8" s="3"/>
      <c r="SC8" s="3"/>
      <c r="SD8" s="3"/>
      <c r="SE8" s="3"/>
      <c r="SF8" s="1"/>
      <c r="SG8" s="22"/>
      <c r="SH8" s="3"/>
      <c r="SI8" s="3"/>
      <c r="SJ8" s="3"/>
      <c r="SK8" s="3"/>
      <c r="SL8" s="3"/>
      <c r="SM8" s="3"/>
      <c r="SN8" s="1"/>
      <c r="SO8" s="22"/>
      <c r="SP8" s="3"/>
      <c r="SQ8" s="3"/>
      <c r="SR8" s="3"/>
      <c r="SS8" s="3"/>
      <c r="ST8" s="3"/>
      <c r="SU8" s="3"/>
      <c r="SV8" s="1"/>
      <c r="SW8" s="22"/>
      <c r="SX8" s="3"/>
      <c r="SY8" s="3"/>
      <c r="SZ8" s="3"/>
      <c r="TA8" s="3"/>
      <c r="TB8" s="3"/>
      <c r="TC8" s="3"/>
      <c r="TD8" s="1"/>
      <c r="TE8" s="22"/>
      <c r="TF8" s="3"/>
      <c r="TG8" s="3"/>
      <c r="TH8" s="3"/>
      <c r="TI8" s="3"/>
      <c r="TJ8" s="3"/>
      <c r="TK8" s="3"/>
      <c r="TL8" s="1"/>
      <c r="TM8" s="22"/>
      <c r="TN8" s="3"/>
      <c r="TO8" s="3"/>
      <c r="TP8" s="3"/>
      <c r="TQ8" s="3"/>
      <c r="TR8" s="3"/>
      <c r="TS8" s="3"/>
      <c r="TT8" s="1"/>
      <c r="TU8" s="22"/>
      <c r="TV8" s="3"/>
      <c r="TW8" s="3"/>
      <c r="TX8" s="3"/>
      <c r="TY8" s="3"/>
      <c r="TZ8" s="3"/>
      <c r="UA8" s="3"/>
      <c r="UB8" s="1"/>
      <c r="UC8" s="22"/>
      <c r="UD8" s="3"/>
      <c r="UE8" s="3"/>
      <c r="UF8" s="3"/>
      <c r="UG8" s="3"/>
      <c r="UH8" s="3"/>
      <c r="UI8" s="3"/>
      <c r="UJ8" s="1"/>
      <c r="UK8" s="22"/>
      <c r="UL8" s="3"/>
      <c r="UM8" s="3"/>
      <c r="UN8" s="3"/>
      <c r="UO8" s="3"/>
      <c r="UP8" s="3"/>
      <c r="UQ8" s="3"/>
      <c r="UR8" s="1"/>
      <c r="US8" s="22"/>
      <c r="UT8" s="3"/>
      <c r="UU8" s="3"/>
      <c r="UV8" s="3"/>
      <c r="UW8" s="3"/>
      <c r="UX8" s="3"/>
      <c r="UY8" s="3"/>
      <c r="UZ8" s="1"/>
      <c r="VA8" s="22"/>
      <c r="VB8" s="3"/>
      <c r="VC8" s="3"/>
      <c r="VD8" s="3"/>
      <c r="VE8" s="3"/>
      <c r="VF8" s="3"/>
      <c r="VG8" s="3"/>
      <c r="VH8" s="1"/>
      <c r="VI8" s="22"/>
      <c r="VJ8" s="3"/>
      <c r="VK8" s="3"/>
      <c r="VL8" s="3"/>
      <c r="VM8" s="3"/>
      <c r="VN8" s="3"/>
      <c r="VO8" s="3"/>
      <c r="VP8" s="1"/>
      <c r="VQ8" s="22"/>
      <c r="VR8" s="3"/>
      <c r="VS8" s="3"/>
      <c r="VT8" s="3"/>
      <c r="VU8" s="3"/>
      <c r="VV8" s="3"/>
      <c r="VW8" s="3"/>
      <c r="VX8" s="1"/>
      <c r="VY8" s="22"/>
      <c r="VZ8" s="3"/>
      <c r="WA8" s="3"/>
      <c r="WB8" s="3"/>
      <c r="WC8" s="3"/>
      <c r="WD8" s="3"/>
      <c r="WE8" s="3"/>
      <c r="WF8" s="1"/>
      <c r="WG8" s="22"/>
      <c r="WH8" s="3"/>
      <c r="WI8" s="3"/>
      <c r="WJ8" s="3"/>
      <c r="WK8" s="3"/>
      <c r="WL8" s="3"/>
      <c r="WM8" s="3"/>
      <c r="WN8" s="1"/>
      <c r="WO8" s="22"/>
      <c r="WP8" s="3"/>
      <c r="WQ8" s="3"/>
      <c r="WR8" s="3"/>
      <c r="WS8" s="3"/>
      <c r="WT8" s="3"/>
      <c r="WU8" s="3"/>
      <c r="WV8" s="1"/>
      <c r="WW8" s="22"/>
      <c r="WX8" s="3"/>
      <c r="WY8" s="3"/>
      <c r="WZ8" s="3"/>
      <c r="XA8" s="3"/>
      <c r="XB8" s="3"/>
      <c r="XC8" s="3"/>
      <c r="XD8" s="1"/>
      <c r="XE8" s="22"/>
      <c r="XF8" s="3"/>
      <c r="XG8" s="3"/>
      <c r="XH8" s="3"/>
      <c r="XI8" s="3"/>
      <c r="XJ8" s="3"/>
      <c r="XK8" s="3"/>
      <c r="XL8" s="1"/>
      <c r="XM8" s="22"/>
      <c r="XN8" s="3"/>
      <c r="XO8" s="3"/>
      <c r="XP8" s="3"/>
      <c r="XQ8" s="3"/>
      <c r="XR8" s="3"/>
      <c r="XS8" s="3"/>
      <c r="XT8" s="1"/>
    </row>
    <row r="9" spans="1:644" x14ac:dyDescent="0.25">
      <c r="A9" s="2">
        <v>0</v>
      </c>
      <c r="B9" s="1" t="s">
        <v>17</v>
      </c>
      <c r="C9" s="1" t="s">
        <v>18</v>
      </c>
      <c r="D9" s="1">
        <v>1.808745116084386E-2</v>
      </c>
      <c r="E9" s="1">
        <v>1.935012966319298E-2</v>
      </c>
      <c r="F9" s="1">
        <v>1.9420616751077771E-2</v>
      </c>
      <c r="G9" s="1">
        <v>1.93219383474981E-2</v>
      </c>
      <c r="H9" s="1">
        <v>1.8447143658411599E-2</v>
      </c>
      <c r="I9" s="1">
        <v>1.8685706975502411E-2</v>
      </c>
      <c r="J9" s="1">
        <v>1.9646966064331341E-2</v>
      </c>
      <c r="K9" s="1">
        <v>1.9646966064331341E-2</v>
      </c>
      <c r="L9" s="1">
        <v>1.9646966064331341E-2</v>
      </c>
      <c r="M9" s="1">
        <v>1.9646966064331341E-2</v>
      </c>
      <c r="N9" s="1">
        <v>1.9646966064331341E-2</v>
      </c>
      <c r="O9" s="1">
        <v>1.9231619716198491E-2</v>
      </c>
      <c r="P9" s="1"/>
      <c r="Q9" s="2">
        <v>16</v>
      </c>
      <c r="R9" s="1" t="s">
        <v>17</v>
      </c>
      <c r="S9" s="16" t="s">
        <v>19</v>
      </c>
      <c r="T9" s="16">
        <v>3.1430530255479429E-3</v>
      </c>
      <c r="U9" s="1"/>
      <c r="V9" s="2" t="s">
        <v>17</v>
      </c>
      <c r="W9" s="19">
        <v>1.2784438115142471E-2</v>
      </c>
      <c r="X9" s="16">
        <v>3.1430530255479429E-3</v>
      </c>
      <c r="Y9" s="18">
        <v>5.2612811975583332E-2</v>
      </c>
      <c r="Z9" s="17">
        <v>7.1955435501400211E-2</v>
      </c>
      <c r="AA9" s="1">
        <f>SUM(W9:Z9)</f>
        <v>0.14049573861767395</v>
      </c>
      <c r="AC9" s="22">
        <v>874</v>
      </c>
      <c r="AD9" s="1" t="s">
        <v>17</v>
      </c>
      <c r="AE9" s="1">
        <v>2014</v>
      </c>
      <c r="AF9" s="1" t="s">
        <v>18</v>
      </c>
      <c r="AG9" s="1">
        <v>73945.399999999994</v>
      </c>
      <c r="AH9" s="1">
        <v>4088215.6</v>
      </c>
      <c r="AI9" s="1">
        <v>1.8087451160843801E-2</v>
      </c>
      <c r="AJ9" s="1"/>
      <c r="AK9" s="22">
        <v>2070</v>
      </c>
      <c r="AL9" s="1" t="s">
        <v>61</v>
      </c>
      <c r="AM9" s="1">
        <v>2014</v>
      </c>
      <c r="AN9" s="1" t="s">
        <v>18</v>
      </c>
      <c r="AO9" s="1">
        <v>498321.4</v>
      </c>
      <c r="AP9" s="1">
        <v>40350049.200000003</v>
      </c>
      <c r="AQ9" s="1">
        <v>1.23499576798533E-2</v>
      </c>
      <c r="AR9" s="1"/>
      <c r="AS9" s="22">
        <v>3266</v>
      </c>
      <c r="AT9" s="1" t="s">
        <v>44</v>
      </c>
      <c r="AU9" s="1">
        <v>2014</v>
      </c>
      <c r="AV9" s="1" t="s">
        <v>18</v>
      </c>
      <c r="AW9" s="1">
        <v>47264.4</v>
      </c>
      <c r="AX9" s="1">
        <v>6735816.8000000007</v>
      </c>
      <c r="AY9" s="1">
        <v>7.0168772998695002E-3</v>
      </c>
      <c r="AZ9" s="1"/>
      <c r="BA9" s="22">
        <v>4462</v>
      </c>
      <c r="BB9" s="1" t="s">
        <v>38</v>
      </c>
      <c r="BC9" s="1">
        <v>2014</v>
      </c>
      <c r="BD9" s="1" t="s">
        <v>18</v>
      </c>
      <c r="BE9" s="1">
        <v>114024</v>
      </c>
      <c r="BF9" s="1">
        <v>6538596.7000000002</v>
      </c>
      <c r="BG9" s="1">
        <v>1.7438604219159101E-2</v>
      </c>
      <c r="BH9" s="1"/>
      <c r="BI9" s="22">
        <v>5658</v>
      </c>
      <c r="BJ9" s="1" t="s">
        <v>31</v>
      </c>
      <c r="BK9" s="1">
        <v>2014</v>
      </c>
      <c r="BL9" s="1" t="s">
        <v>18</v>
      </c>
      <c r="BM9" s="1">
        <v>80109</v>
      </c>
      <c r="BN9" s="1">
        <v>9155477.5</v>
      </c>
      <c r="BO9" s="1">
        <v>8.7498440141433997E-3</v>
      </c>
      <c r="BP9" s="1"/>
      <c r="BQ9" s="22">
        <v>6854</v>
      </c>
      <c r="BR9" s="1" t="s">
        <v>51</v>
      </c>
      <c r="BS9" s="1">
        <v>2014</v>
      </c>
      <c r="BT9" s="1" t="s">
        <v>18</v>
      </c>
      <c r="BU9" s="1">
        <v>74981.899999999994</v>
      </c>
      <c r="BV9" s="1">
        <v>4981875.5</v>
      </c>
      <c r="BW9" s="1">
        <v>1.5050938145684201E-2</v>
      </c>
      <c r="BX9" s="1"/>
      <c r="BY9" s="22">
        <v>8050</v>
      </c>
      <c r="BZ9" s="1" t="s">
        <v>57</v>
      </c>
      <c r="CA9" s="1">
        <v>2014</v>
      </c>
      <c r="CB9" s="1" t="s">
        <v>18</v>
      </c>
      <c r="CC9" s="1">
        <v>95562</v>
      </c>
      <c r="CD9" s="1">
        <v>11026913.800000001</v>
      </c>
      <c r="CE9" s="1">
        <v>8.6662507509579993E-3</v>
      </c>
      <c r="CF9" s="1"/>
      <c r="CG9" s="22">
        <v>920</v>
      </c>
      <c r="CH9" s="1" t="s">
        <v>17</v>
      </c>
      <c r="CI9" s="1">
        <v>2015</v>
      </c>
      <c r="CJ9" s="1" t="s">
        <v>18</v>
      </c>
      <c r="CK9" s="1">
        <v>68792.3</v>
      </c>
      <c r="CL9" s="1">
        <v>3555133.8</v>
      </c>
      <c r="CM9" s="1">
        <v>1.9350129663192901E-2</v>
      </c>
      <c r="CN9" s="1"/>
      <c r="CO9" s="22">
        <v>2116</v>
      </c>
      <c r="CP9" s="1" t="s">
        <v>61</v>
      </c>
      <c r="CQ9" s="1">
        <v>2015</v>
      </c>
      <c r="CR9" s="1" t="s">
        <v>18</v>
      </c>
      <c r="CS9" s="1">
        <v>458945.1</v>
      </c>
      <c r="CT9" s="1">
        <v>41208556.399999999</v>
      </c>
      <c r="CU9" s="1">
        <v>1.1137131219670599E-2</v>
      </c>
      <c r="CV9" s="1"/>
      <c r="CW9" s="22">
        <v>3312</v>
      </c>
      <c r="CX9" s="1" t="s">
        <v>44</v>
      </c>
      <c r="CY9" s="1">
        <v>2015</v>
      </c>
      <c r="CZ9" s="1" t="s">
        <v>18</v>
      </c>
      <c r="DA9" s="1">
        <v>43009</v>
      </c>
      <c r="DB9" s="1">
        <v>6404349.4000000004</v>
      </c>
      <c r="DC9" s="1">
        <v>6.7155923753940997E-3</v>
      </c>
      <c r="DD9" s="1"/>
      <c r="DE9" s="22">
        <v>4508</v>
      </c>
      <c r="DF9" s="1" t="s">
        <v>38</v>
      </c>
      <c r="DG9" s="1">
        <v>2015</v>
      </c>
      <c r="DH9" s="1" t="s">
        <v>18</v>
      </c>
      <c r="DI9" s="1">
        <v>95462.9</v>
      </c>
      <c r="DJ9" s="1">
        <v>5531517.5999999996</v>
      </c>
      <c r="DK9" s="1">
        <v>1.72579944426101E-2</v>
      </c>
      <c r="DL9" s="1"/>
      <c r="DM9" s="22">
        <v>5704</v>
      </c>
      <c r="DN9" s="1" t="s">
        <v>31</v>
      </c>
      <c r="DO9" s="1">
        <v>2015</v>
      </c>
      <c r="DP9" s="1" t="s">
        <v>18</v>
      </c>
      <c r="DQ9" s="1">
        <v>60611.1</v>
      </c>
      <c r="DR9" s="1">
        <v>7894528</v>
      </c>
      <c r="DS9" s="1">
        <v>7.6776090983525997E-3</v>
      </c>
      <c r="DT9" s="1"/>
      <c r="DU9" s="22">
        <v>6900</v>
      </c>
      <c r="DV9" s="1" t="s">
        <v>51</v>
      </c>
      <c r="DW9" s="1">
        <v>2015</v>
      </c>
      <c r="DX9" s="1" t="s">
        <v>18</v>
      </c>
      <c r="DY9" s="1">
        <v>63811.5</v>
      </c>
      <c r="DZ9" s="1">
        <v>4209274.5999999996</v>
      </c>
      <c r="EA9" s="1">
        <v>1.51597379748044E-2</v>
      </c>
      <c r="EB9" s="1"/>
      <c r="EC9" s="22">
        <v>8096</v>
      </c>
      <c r="ED9" s="1" t="s">
        <v>57</v>
      </c>
      <c r="EE9" s="1">
        <v>2015</v>
      </c>
      <c r="EF9" s="1" t="s">
        <v>18</v>
      </c>
      <c r="EG9" s="1">
        <v>83988.5</v>
      </c>
      <c r="EH9" s="1">
        <v>9729477.0999999996</v>
      </c>
      <c r="EI9" s="1">
        <v>8.6323755261215E-3</v>
      </c>
      <c r="EJ9" s="1"/>
      <c r="EK9" s="22">
        <v>966</v>
      </c>
      <c r="EL9" s="1" t="s">
        <v>17</v>
      </c>
      <c r="EM9" s="1">
        <v>2016</v>
      </c>
      <c r="EN9" s="1" t="s">
        <v>18</v>
      </c>
      <c r="EO9" s="1">
        <v>67261.5</v>
      </c>
      <c r="EP9" s="1">
        <v>3463407</v>
      </c>
      <c r="EQ9" s="1">
        <v>1.9420616751077702E-2</v>
      </c>
      <c r="ER9" s="1"/>
      <c r="ES9" s="22">
        <v>2162</v>
      </c>
      <c r="ET9" s="1" t="s">
        <v>61</v>
      </c>
      <c r="EU9" s="1">
        <v>2016</v>
      </c>
      <c r="EV9" s="1" t="s">
        <v>18</v>
      </c>
      <c r="EW9" s="1">
        <v>436808.2</v>
      </c>
      <c r="EX9" s="1">
        <v>42141395.200000003</v>
      </c>
      <c r="EY9" s="1">
        <v>1.03652999129938E-2</v>
      </c>
      <c r="EZ9" s="1"/>
      <c r="FA9" s="22">
        <v>3358</v>
      </c>
      <c r="FB9" s="1" t="s">
        <v>44</v>
      </c>
      <c r="FC9" s="1">
        <v>2016</v>
      </c>
      <c r="FD9" s="1" t="s">
        <v>18</v>
      </c>
      <c r="FE9" s="1">
        <v>37740.199999999997</v>
      </c>
      <c r="FF9" s="1">
        <v>5868597.7999999998</v>
      </c>
      <c r="FG9" s="1">
        <v>6.4308717833755002E-3</v>
      </c>
      <c r="FH9" s="1"/>
      <c r="FI9" s="22">
        <v>4554</v>
      </c>
      <c r="FJ9" s="1" t="s">
        <v>38</v>
      </c>
      <c r="FK9" s="1">
        <v>2016</v>
      </c>
      <c r="FL9" s="1" t="s">
        <v>18</v>
      </c>
      <c r="FM9" s="1">
        <v>89914.8</v>
      </c>
      <c r="FN9" s="1">
        <v>5582986.5</v>
      </c>
      <c r="FO9" s="1">
        <v>1.6105143725495302E-2</v>
      </c>
      <c r="FP9" s="1"/>
      <c r="FQ9" s="22">
        <v>5750</v>
      </c>
      <c r="FR9" s="1" t="s">
        <v>31</v>
      </c>
      <c r="FS9" s="1">
        <v>2016</v>
      </c>
      <c r="FT9" s="1" t="s">
        <v>18</v>
      </c>
      <c r="FU9" s="1">
        <v>59892.6</v>
      </c>
      <c r="FV9" s="1">
        <v>8130820.9000000004</v>
      </c>
      <c r="FW9" s="1">
        <v>7.3661196989347E-3</v>
      </c>
      <c r="FX9" s="1"/>
      <c r="FY9" s="22">
        <v>6946</v>
      </c>
      <c r="FZ9" s="1" t="s">
        <v>51</v>
      </c>
      <c r="GA9" s="1">
        <v>2016</v>
      </c>
      <c r="GB9" s="1" t="s">
        <v>18</v>
      </c>
      <c r="GC9" s="1">
        <v>61565.7</v>
      </c>
      <c r="GD9" s="1">
        <v>4230502.5999999996</v>
      </c>
      <c r="GE9" s="1">
        <v>1.45528098718105E-2</v>
      </c>
      <c r="GF9" s="1"/>
      <c r="GG9" s="22">
        <v>8142</v>
      </c>
      <c r="GH9" s="1" t="s">
        <v>57</v>
      </c>
      <c r="GI9" s="1">
        <v>2016</v>
      </c>
      <c r="GJ9" s="1" t="s">
        <v>18</v>
      </c>
      <c r="GK9" s="1">
        <v>98301</v>
      </c>
      <c r="GL9" s="1">
        <v>10773649.5</v>
      </c>
      <c r="GM9" s="1">
        <v>9.1242062404202004E-3</v>
      </c>
      <c r="GN9" s="1"/>
      <c r="GO9" s="22">
        <v>1012</v>
      </c>
      <c r="GP9" s="1" t="s">
        <v>17</v>
      </c>
      <c r="GQ9" s="1">
        <v>2017</v>
      </c>
      <c r="GR9" s="1" t="s">
        <v>18</v>
      </c>
      <c r="GS9" s="1">
        <v>71872.5</v>
      </c>
      <c r="GT9" s="1">
        <v>3719735.5</v>
      </c>
      <c r="GU9" s="1">
        <v>1.9321938347497999E-2</v>
      </c>
      <c r="GV9" s="1"/>
      <c r="GW9" s="22">
        <v>2208</v>
      </c>
      <c r="GX9" s="1" t="s">
        <v>61</v>
      </c>
      <c r="GY9" s="1">
        <v>2017</v>
      </c>
      <c r="GZ9" s="1" t="s">
        <v>18</v>
      </c>
      <c r="HA9" s="1">
        <v>455092</v>
      </c>
      <c r="HB9" s="1">
        <v>44107004.100000001</v>
      </c>
      <c r="HC9" s="1">
        <v>1.03179077628625E-2</v>
      </c>
      <c r="HD9" s="1"/>
      <c r="HE9" s="22">
        <v>3404</v>
      </c>
      <c r="HF9" s="1" t="s">
        <v>44</v>
      </c>
      <c r="HG9" s="1">
        <v>2017</v>
      </c>
      <c r="HH9" s="1" t="s">
        <v>18</v>
      </c>
      <c r="HI9" s="1">
        <v>37609.800000000003</v>
      </c>
      <c r="HJ9" s="1">
        <v>5855367.5</v>
      </c>
      <c r="HK9" s="1">
        <v>6.4231322799124003E-3</v>
      </c>
      <c r="HL9" s="1"/>
      <c r="HM9" s="22">
        <v>4600</v>
      </c>
      <c r="HN9" s="1" t="s">
        <v>38</v>
      </c>
      <c r="HO9" s="1">
        <v>2017</v>
      </c>
      <c r="HP9" s="1" t="s">
        <v>18</v>
      </c>
      <c r="HQ9" s="1">
        <v>94694.2</v>
      </c>
      <c r="HR9" s="1">
        <v>5923445.7000000002</v>
      </c>
      <c r="HS9" s="1">
        <v>1.5986337141572798E-2</v>
      </c>
      <c r="HT9" s="1"/>
      <c r="HU9" s="22">
        <v>5796</v>
      </c>
      <c r="HV9" s="1" t="s">
        <v>31</v>
      </c>
      <c r="HW9" s="1">
        <v>2017</v>
      </c>
      <c r="HX9" s="1" t="s">
        <v>18</v>
      </c>
      <c r="HY9" s="1">
        <v>68418.7</v>
      </c>
      <c r="HZ9" s="1">
        <v>8686095.3000000007</v>
      </c>
      <c r="IA9" s="1">
        <v>7.8768074303766002E-3</v>
      </c>
      <c r="IB9" s="1"/>
      <c r="IC9" s="22">
        <v>6992</v>
      </c>
      <c r="ID9" s="1" t="s">
        <v>51</v>
      </c>
      <c r="IE9" s="1">
        <v>2017</v>
      </c>
      <c r="IF9" s="1" t="s">
        <v>18</v>
      </c>
      <c r="IG9" s="1">
        <v>65461.599999999999</v>
      </c>
      <c r="IH9" s="1">
        <v>4472691.8</v>
      </c>
      <c r="II9" s="1">
        <v>1.46358396525331E-2</v>
      </c>
      <c r="IJ9" s="1"/>
      <c r="IK9" s="22">
        <v>8188</v>
      </c>
      <c r="IL9" s="1" t="s">
        <v>57</v>
      </c>
      <c r="IM9" s="1">
        <v>2017</v>
      </c>
      <c r="IN9" s="1" t="s">
        <v>18</v>
      </c>
      <c r="IO9" s="1">
        <v>96324.4</v>
      </c>
      <c r="IP9" s="1">
        <v>10750260.5</v>
      </c>
      <c r="IQ9" s="1">
        <v>8.9601921739477005E-3</v>
      </c>
      <c r="IR9" s="1"/>
      <c r="IS9" s="22">
        <v>1058</v>
      </c>
      <c r="IT9" s="1" t="s">
        <v>17</v>
      </c>
      <c r="IU9" s="1">
        <v>2018</v>
      </c>
      <c r="IV9" s="1" t="s">
        <v>18</v>
      </c>
      <c r="IW9" s="1">
        <v>72020.7</v>
      </c>
      <c r="IX9" s="1">
        <v>3904165.4</v>
      </c>
      <c r="IY9" s="1">
        <v>1.8447143658411599E-2</v>
      </c>
      <c r="IZ9" s="1"/>
      <c r="JA9" s="22">
        <v>2254</v>
      </c>
      <c r="JB9" s="1" t="s">
        <v>61</v>
      </c>
      <c r="JC9" s="1">
        <v>2018</v>
      </c>
      <c r="JD9" s="1" t="s">
        <v>18</v>
      </c>
      <c r="JE9" s="1">
        <v>455968</v>
      </c>
      <c r="JF9" s="1">
        <v>46669099.200000003</v>
      </c>
      <c r="JG9" s="1">
        <v>9.7702335767388994E-3</v>
      </c>
      <c r="JH9" s="1"/>
      <c r="JI9" s="22">
        <v>3450</v>
      </c>
      <c r="JJ9" s="1" t="s">
        <v>44</v>
      </c>
      <c r="JK9" s="1">
        <v>2018</v>
      </c>
      <c r="JL9" s="1" t="s">
        <v>18</v>
      </c>
      <c r="JM9" s="1">
        <v>41077.599999999999</v>
      </c>
      <c r="JN9" s="1">
        <v>6336724.7000000002</v>
      </c>
      <c r="JO9" s="1">
        <v>6.4824656182395999E-3</v>
      </c>
      <c r="JP9" s="1"/>
      <c r="JQ9" s="22">
        <v>4646</v>
      </c>
      <c r="JR9" s="1" t="s">
        <v>38</v>
      </c>
      <c r="JS9" s="1">
        <v>2018</v>
      </c>
      <c r="JT9" s="1" t="s">
        <v>18</v>
      </c>
      <c r="JU9" s="1">
        <v>105013.6</v>
      </c>
      <c r="JV9" s="1">
        <v>6390706</v>
      </c>
      <c r="JW9" s="1">
        <v>1.64322376901706E-2</v>
      </c>
      <c r="JX9" s="1"/>
      <c r="JY9" s="22">
        <v>5842</v>
      </c>
      <c r="JZ9" s="1" t="s">
        <v>31</v>
      </c>
      <c r="KA9" s="1">
        <v>2018</v>
      </c>
      <c r="KB9" s="1" t="s">
        <v>18</v>
      </c>
      <c r="KC9" s="1">
        <v>67532.2</v>
      </c>
      <c r="KD9" s="1">
        <v>9443218.3000000007</v>
      </c>
      <c r="KE9" s="1">
        <v>7.1513966800914996E-3</v>
      </c>
      <c r="KF9" s="1"/>
      <c r="KG9" s="22">
        <v>7038</v>
      </c>
      <c r="KH9" s="1" t="s">
        <v>51</v>
      </c>
      <c r="KI9" s="1">
        <v>2018</v>
      </c>
      <c r="KJ9" s="1" t="s">
        <v>18</v>
      </c>
      <c r="KK9" s="1">
        <v>69917.899999999994</v>
      </c>
      <c r="KL9" s="1">
        <v>4803387.8</v>
      </c>
      <c r="KM9" s="1">
        <v>1.45559556944371E-2</v>
      </c>
      <c r="KN9" s="1"/>
      <c r="KO9" s="22">
        <v>8234</v>
      </c>
      <c r="KP9" s="1" t="s">
        <v>57</v>
      </c>
      <c r="KQ9" s="1">
        <v>2018</v>
      </c>
      <c r="KR9" s="1" t="s">
        <v>18</v>
      </c>
      <c r="KS9" s="1">
        <v>97118.2</v>
      </c>
      <c r="KT9" s="1">
        <v>11172914.4</v>
      </c>
      <c r="KU9" s="1">
        <v>8.6922889161308997E-3</v>
      </c>
      <c r="KV9" s="1"/>
      <c r="KW9" s="22">
        <v>1104</v>
      </c>
      <c r="KX9" s="1" t="s">
        <v>17</v>
      </c>
      <c r="KY9" s="1">
        <v>2019</v>
      </c>
      <c r="KZ9" s="1" t="s">
        <v>18</v>
      </c>
      <c r="LA9" s="1">
        <v>73908.100000000006</v>
      </c>
      <c r="LB9" s="1">
        <v>3955328</v>
      </c>
      <c r="LC9" s="1">
        <v>1.8685706975502401E-2</v>
      </c>
      <c r="LD9" s="1"/>
      <c r="LE9" s="22">
        <v>2300</v>
      </c>
      <c r="LF9" s="1" t="s">
        <v>61</v>
      </c>
      <c r="LG9" s="1">
        <v>2019</v>
      </c>
      <c r="LH9" s="1" t="s">
        <v>18</v>
      </c>
      <c r="LI9" s="1">
        <v>452287.7</v>
      </c>
      <c r="LJ9" s="1">
        <v>48356774.5</v>
      </c>
      <c r="LK9" s="1">
        <v>9.3531403753986005E-3</v>
      </c>
      <c r="LL9" s="1"/>
      <c r="LM9" s="22">
        <v>3496</v>
      </c>
      <c r="LN9" s="1" t="s">
        <v>44</v>
      </c>
      <c r="LO9" s="1">
        <v>2019</v>
      </c>
      <c r="LP9" s="1" t="s">
        <v>18</v>
      </c>
      <c r="LQ9" s="1">
        <v>41851</v>
      </c>
      <c r="LR9" s="1">
        <v>6269787.0999999996</v>
      </c>
      <c r="LS9" s="1">
        <v>6.6750272907990004E-3</v>
      </c>
      <c r="LT9" s="1"/>
      <c r="LU9" s="22">
        <v>4692</v>
      </c>
      <c r="LV9" s="1" t="s">
        <v>38</v>
      </c>
      <c r="LW9" s="1">
        <v>2019</v>
      </c>
      <c r="LX9" s="1" t="s">
        <v>18</v>
      </c>
      <c r="LY9" s="1">
        <v>98175.8</v>
      </c>
      <c r="LZ9" s="1">
        <v>6182094.5</v>
      </c>
      <c r="MA9" s="1">
        <v>1.58806695691888E-2</v>
      </c>
      <c r="MB9" s="1"/>
      <c r="MC9" s="22">
        <v>5888</v>
      </c>
      <c r="MD9" s="1" t="s">
        <v>31</v>
      </c>
      <c r="ME9" s="1">
        <v>2019</v>
      </c>
      <c r="MF9" s="1" t="s">
        <v>18</v>
      </c>
      <c r="MG9" s="1">
        <v>68792.100000000006</v>
      </c>
      <c r="MH9" s="1">
        <v>9237079</v>
      </c>
      <c r="MI9" s="1">
        <v>7.4473867767071997E-3</v>
      </c>
      <c r="MJ9" s="1"/>
      <c r="MK9" s="22">
        <v>7084</v>
      </c>
      <c r="ML9" s="1" t="s">
        <v>51</v>
      </c>
      <c r="MM9" s="1">
        <v>2019</v>
      </c>
      <c r="MN9" s="1" t="s">
        <v>18</v>
      </c>
      <c r="MO9" s="1">
        <v>66709.600000000006</v>
      </c>
      <c r="MP9" s="1">
        <v>4608662</v>
      </c>
      <c r="MQ9" s="1">
        <v>1.44748302218735E-2</v>
      </c>
      <c r="MR9" s="1"/>
      <c r="MS9" s="22">
        <v>8280</v>
      </c>
      <c r="MT9" s="1" t="s">
        <v>57</v>
      </c>
      <c r="MU9" s="1">
        <v>2019</v>
      </c>
      <c r="MV9" s="1" t="s">
        <v>18</v>
      </c>
      <c r="MW9" s="1">
        <v>97146.4</v>
      </c>
      <c r="MX9" s="1">
        <v>11338077</v>
      </c>
      <c r="MY9" s="1">
        <v>8.5681548996359002E-3</v>
      </c>
      <c r="MZ9" s="1"/>
      <c r="NA9" s="22">
        <v>1150</v>
      </c>
      <c r="NB9" s="1" t="s">
        <v>17</v>
      </c>
      <c r="NC9" s="1">
        <v>2020</v>
      </c>
      <c r="ND9" s="1" t="s">
        <v>18</v>
      </c>
      <c r="NE9" s="1">
        <v>74358.899999999994</v>
      </c>
      <c r="NF9" s="1">
        <v>3784752.3</v>
      </c>
      <c r="NG9" s="1">
        <v>1.9646966064331299E-2</v>
      </c>
      <c r="NH9" s="1"/>
      <c r="NI9" s="22">
        <v>2346</v>
      </c>
      <c r="NJ9" s="1" t="s">
        <v>61</v>
      </c>
      <c r="NK9" s="1">
        <v>2020</v>
      </c>
      <c r="NL9" s="1" t="s">
        <v>18</v>
      </c>
      <c r="NM9" s="1">
        <v>478821.8</v>
      </c>
      <c r="NN9" s="1">
        <v>47421769.399999999</v>
      </c>
      <c r="NO9" s="1">
        <v>1.0097088448159E-2</v>
      </c>
      <c r="NP9" s="1"/>
      <c r="NQ9" s="22">
        <v>3542</v>
      </c>
      <c r="NR9" s="1" t="s">
        <v>44</v>
      </c>
      <c r="NS9" s="1">
        <v>2020</v>
      </c>
      <c r="NT9" s="1" t="s">
        <v>18</v>
      </c>
      <c r="NU9" s="1">
        <v>41560.199999999997</v>
      </c>
      <c r="NV9" s="1">
        <v>5955345.3666666672</v>
      </c>
      <c r="NW9" s="1">
        <v>6.9786380874938001E-3</v>
      </c>
      <c r="NX9" s="1"/>
      <c r="NY9" s="22">
        <v>4738</v>
      </c>
      <c r="NZ9" s="1" t="s">
        <v>38</v>
      </c>
      <c r="OA9" s="1">
        <v>2020</v>
      </c>
      <c r="OB9" s="1" t="s">
        <v>18</v>
      </c>
      <c r="OC9" s="1">
        <v>101071.2</v>
      </c>
      <c r="OD9" s="1">
        <v>5990228.4000000004</v>
      </c>
      <c r="OE9" s="1">
        <v>1.6872678844766498E-2</v>
      </c>
      <c r="OF9" s="1"/>
      <c r="OG9" s="22">
        <v>5934</v>
      </c>
      <c r="OH9" s="1" t="s">
        <v>31</v>
      </c>
      <c r="OI9" s="1">
        <v>2020</v>
      </c>
      <c r="OJ9" s="1" t="s">
        <v>18</v>
      </c>
      <c r="OK9" s="1">
        <v>68624.7</v>
      </c>
      <c r="OL9" s="1">
        <v>9257180.0999999996</v>
      </c>
      <c r="OM9" s="1">
        <v>7.4131322129078999E-3</v>
      </c>
      <c r="ON9" s="1"/>
      <c r="OO9" s="22">
        <v>7130</v>
      </c>
      <c r="OP9" s="1" t="s">
        <v>51</v>
      </c>
      <c r="OQ9" s="1">
        <v>2020</v>
      </c>
      <c r="OR9" s="1" t="s">
        <v>18</v>
      </c>
      <c r="OS9" s="1">
        <v>67690.600000000006</v>
      </c>
      <c r="OT9" s="1">
        <v>4352046.4000000004</v>
      </c>
      <c r="OU9" s="1">
        <v>1.55537404196793E-2</v>
      </c>
      <c r="OV9" s="1"/>
      <c r="OW9" s="22">
        <v>8326</v>
      </c>
      <c r="OX9" s="1" t="s">
        <v>57</v>
      </c>
      <c r="OY9" s="1">
        <v>2020</v>
      </c>
      <c r="OZ9" s="1" t="s">
        <v>18</v>
      </c>
      <c r="PA9" s="1">
        <v>101432.6</v>
      </c>
      <c r="PB9" s="1">
        <v>11082248.733333331</v>
      </c>
      <c r="PC9" s="1">
        <v>9.1527092055703006E-3</v>
      </c>
      <c r="PD9" s="1"/>
      <c r="PE9" s="22">
        <v>8372</v>
      </c>
      <c r="PF9" s="1" t="s">
        <v>17</v>
      </c>
      <c r="PG9" s="1">
        <v>2021</v>
      </c>
      <c r="PH9" s="1" t="s">
        <v>18</v>
      </c>
      <c r="PI9" s="1">
        <v>90827.908884566859</v>
      </c>
      <c r="PJ9" s="1">
        <v>4622999.2247741111</v>
      </c>
      <c r="PK9" s="1">
        <v>1.9646966064331299E-2</v>
      </c>
      <c r="PL9" s="1"/>
      <c r="PM9" s="22">
        <v>9292</v>
      </c>
      <c r="PN9" s="1" t="s">
        <v>61</v>
      </c>
      <c r="PO9" s="1">
        <v>2021</v>
      </c>
      <c r="PP9" s="1" t="s">
        <v>18</v>
      </c>
      <c r="PQ9" s="1">
        <v>531002.2342388581</v>
      </c>
      <c r="PR9" s="1">
        <v>52589638.782026872</v>
      </c>
      <c r="PS9" s="1">
        <v>1.0097088448159E-2</v>
      </c>
      <c r="PT9" s="1"/>
      <c r="PU9" s="22">
        <v>10212</v>
      </c>
      <c r="PV9" s="1" t="s">
        <v>44</v>
      </c>
      <c r="PW9" s="1">
        <v>2021</v>
      </c>
      <c r="PX9" s="1" t="s">
        <v>18</v>
      </c>
      <c r="PY9" s="1">
        <v>48441.848376211317</v>
      </c>
      <c r="PZ9" s="1">
        <v>6941447.2808129201</v>
      </c>
      <c r="QA9" s="1">
        <v>6.9786380874938001E-3</v>
      </c>
      <c r="QB9" s="1"/>
      <c r="QC9" s="22">
        <v>11132</v>
      </c>
      <c r="QD9" s="1" t="s">
        <v>38</v>
      </c>
      <c r="QE9" s="1">
        <v>2021</v>
      </c>
      <c r="QF9" s="1" t="s">
        <v>18</v>
      </c>
      <c r="QG9" s="1">
        <v>113228.31034657201</v>
      </c>
      <c r="QH9" s="1">
        <v>6710748.8614170318</v>
      </c>
      <c r="QI9" s="1">
        <v>1.6872678844766498E-2</v>
      </c>
      <c r="QJ9" s="1"/>
      <c r="QK9" s="22">
        <v>12052</v>
      </c>
      <c r="QL9" s="1" t="s">
        <v>31</v>
      </c>
      <c r="QM9" s="1">
        <v>2021</v>
      </c>
      <c r="QN9" s="1" t="s">
        <v>18</v>
      </c>
      <c r="QO9" s="1">
        <v>75733.548302852156</v>
      </c>
      <c r="QP9" s="1">
        <v>10216133.49495957</v>
      </c>
      <c r="QQ9" s="1">
        <v>7.4131322129078999E-3</v>
      </c>
      <c r="QR9" s="1"/>
      <c r="QS9" s="22">
        <v>12972</v>
      </c>
      <c r="QT9" s="1" t="s">
        <v>51</v>
      </c>
      <c r="QU9" s="1">
        <v>2021</v>
      </c>
      <c r="QV9" s="1" t="s">
        <v>18</v>
      </c>
      <c r="QW9" s="1">
        <v>77333.462173128704</v>
      </c>
      <c r="QX9" s="1">
        <v>4972017.0252605537</v>
      </c>
      <c r="QY9" s="1">
        <v>1.55537404196793E-2</v>
      </c>
      <c r="QZ9" s="1"/>
      <c r="RA9" s="22">
        <v>13892</v>
      </c>
      <c r="RB9" s="1" t="s">
        <v>57</v>
      </c>
      <c r="RC9" s="1">
        <v>2021</v>
      </c>
      <c r="RD9" s="1" t="s">
        <v>18</v>
      </c>
      <c r="RE9" s="1">
        <v>101133.16323082169</v>
      </c>
      <c r="RF9" s="1">
        <v>11049533.09007922</v>
      </c>
      <c r="RG9" s="1">
        <v>9.1527092055703006E-3</v>
      </c>
      <c r="RH9" s="1"/>
      <c r="RI9" s="22">
        <v>8418</v>
      </c>
      <c r="RJ9" s="1" t="s">
        <v>17</v>
      </c>
      <c r="RK9" s="1">
        <v>2022</v>
      </c>
      <c r="RL9" s="1" t="s">
        <v>18</v>
      </c>
      <c r="RM9" s="1">
        <v>98374.370741326595</v>
      </c>
      <c r="RN9" s="1">
        <v>5007102.3902221443</v>
      </c>
      <c r="RO9" s="1">
        <v>1.9646966064331299E-2</v>
      </c>
      <c r="RP9" s="1"/>
      <c r="RQ9" s="22">
        <v>9338</v>
      </c>
      <c r="RR9" s="1" t="s">
        <v>61</v>
      </c>
      <c r="RS9" s="1">
        <v>2022</v>
      </c>
      <c r="RT9" s="1" t="s">
        <v>18</v>
      </c>
      <c r="RU9" s="1">
        <v>583151.27635536029</v>
      </c>
      <c r="RV9" s="1">
        <v>57754399.13688051</v>
      </c>
      <c r="RW9" s="1">
        <v>1.0097088448159E-2</v>
      </c>
      <c r="RX9" s="1"/>
      <c r="RY9" s="22">
        <v>10258</v>
      </c>
      <c r="RZ9" s="1" t="s">
        <v>44</v>
      </c>
      <c r="SA9" s="1">
        <v>2022</v>
      </c>
      <c r="SB9" s="1" t="s">
        <v>18</v>
      </c>
      <c r="SC9" s="1">
        <v>47990.612956191893</v>
      </c>
      <c r="SD9" s="1">
        <v>6876787.7563667288</v>
      </c>
      <c r="SE9" s="1">
        <v>6.9786380874938001E-3</v>
      </c>
      <c r="SF9" s="1"/>
      <c r="SG9" s="22">
        <v>11178</v>
      </c>
      <c r="SH9" s="1" t="s">
        <v>38</v>
      </c>
      <c r="SI9" s="1">
        <v>2022</v>
      </c>
      <c r="SJ9" s="1" t="s">
        <v>18</v>
      </c>
      <c r="SK9" s="1">
        <v>106734.4667570512</v>
      </c>
      <c r="SL9" s="1">
        <v>6325875.5612572851</v>
      </c>
      <c r="SM9" s="1">
        <v>1.6872678844766498E-2</v>
      </c>
      <c r="SN9" s="1"/>
      <c r="SO9" s="22">
        <v>12098</v>
      </c>
      <c r="SP9" s="1" t="s">
        <v>31</v>
      </c>
      <c r="SQ9" s="1">
        <v>2022</v>
      </c>
      <c r="SR9" s="1" t="s">
        <v>18</v>
      </c>
      <c r="SS9" s="1">
        <v>72516.6620779972</v>
      </c>
      <c r="ST9" s="1">
        <v>9782189.227885304</v>
      </c>
      <c r="SU9" s="1">
        <v>7.4131322129078999E-3</v>
      </c>
      <c r="SV9" s="1"/>
      <c r="SW9" s="22">
        <v>13018</v>
      </c>
      <c r="SX9" s="1" t="s">
        <v>51</v>
      </c>
      <c r="SY9" s="1">
        <v>2022</v>
      </c>
      <c r="SZ9" s="1" t="s">
        <v>18</v>
      </c>
      <c r="TA9" s="1">
        <v>74666.974616771622</v>
      </c>
      <c r="TB9" s="1">
        <v>4800579.963537232</v>
      </c>
      <c r="TC9" s="1">
        <v>1.55537404196793E-2</v>
      </c>
      <c r="TD9" s="1"/>
      <c r="TE9" s="22">
        <v>13938</v>
      </c>
      <c r="TF9" s="1" t="s">
        <v>57</v>
      </c>
      <c r="TG9" s="1">
        <v>2022</v>
      </c>
      <c r="TH9" s="1" t="s">
        <v>18</v>
      </c>
      <c r="TI9" s="1">
        <v>85545.392168291932</v>
      </c>
      <c r="TJ9" s="1">
        <v>9346455.8140041605</v>
      </c>
      <c r="TK9" s="1">
        <v>9.1527092055703006E-3</v>
      </c>
      <c r="TL9" s="1"/>
      <c r="TM9" s="22">
        <v>8464</v>
      </c>
      <c r="TN9" s="1" t="s">
        <v>17</v>
      </c>
      <c r="TO9" s="1">
        <v>2023</v>
      </c>
      <c r="TP9" s="1" t="s">
        <v>18</v>
      </c>
      <c r="TQ9" s="1">
        <v>97607.733212939478</v>
      </c>
      <c r="TR9" s="1">
        <v>4968081.7329930915</v>
      </c>
      <c r="TS9" s="1">
        <v>1.9646966064331299E-2</v>
      </c>
      <c r="TT9" s="1"/>
      <c r="TU9" s="22">
        <v>9384</v>
      </c>
      <c r="TV9" s="1" t="s">
        <v>61</v>
      </c>
      <c r="TW9" s="1">
        <v>2023</v>
      </c>
      <c r="TX9" s="1" t="s">
        <v>18</v>
      </c>
      <c r="TY9" s="1">
        <v>621579.7187078828</v>
      </c>
      <c r="TZ9" s="1">
        <v>61560292.543660469</v>
      </c>
      <c r="UA9" s="1">
        <v>1.0097088448159E-2</v>
      </c>
      <c r="UB9" s="1"/>
      <c r="UC9" s="22">
        <v>10304</v>
      </c>
      <c r="UD9" s="1" t="s">
        <v>44</v>
      </c>
      <c r="UE9" s="1">
        <v>2023</v>
      </c>
      <c r="UF9" s="1" t="s">
        <v>18</v>
      </c>
      <c r="UG9" s="1">
        <v>51933.066683970923</v>
      </c>
      <c r="UH9" s="1">
        <v>7441719.4347760417</v>
      </c>
      <c r="UI9" s="1">
        <v>6.9786380874938001E-3</v>
      </c>
      <c r="UJ9" s="1"/>
      <c r="UK9" s="22">
        <v>11224</v>
      </c>
      <c r="UL9" s="1" t="s">
        <v>38</v>
      </c>
      <c r="UM9" s="1">
        <v>2023</v>
      </c>
      <c r="UN9" s="1" t="s">
        <v>18</v>
      </c>
      <c r="UO9" s="1">
        <v>116488.0190548838</v>
      </c>
      <c r="UP9" s="1">
        <v>6903943.3587640161</v>
      </c>
      <c r="UQ9" s="1">
        <v>1.6872678844766498E-2</v>
      </c>
      <c r="UR9" s="1"/>
      <c r="US9" s="22">
        <v>12144</v>
      </c>
      <c r="UT9" s="1" t="s">
        <v>31</v>
      </c>
      <c r="UU9" s="1">
        <v>2023</v>
      </c>
      <c r="UV9" s="1" t="s">
        <v>18</v>
      </c>
      <c r="UW9" s="1">
        <v>78823.291758668449</v>
      </c>
      <c r="UX9" s="1">
        <v>10632926.743356841</v>
      </c>
      <c r="UY9" s="1">
        <v>7.4131322129078999E-3</v>
      </c>
      <c r="UZ9" s="1"/>
      <c r="VA9" s="22">
        <v>13064</v>
      </c>
      <c r="VB9" s="1" t="s">
        <v>51</v>
      </c>
      <c r="VC9" s="1">
        <v>2023</v>
      </c>
      <c r="VD9" s="1" t="s">
        <v>18</v>
      </c>
      <c r="VE9" s="1">
        <v>81783.522587916785</v>
      </c>
      <c r="VF9" s="1">
        <v>5258125.7228930313</v>
      </c>
      <c r="VG9" s="1">
        <v>1.55537404196793E-2</v>
      </c>
      <c r="VH9" s="1"/>
      <c r="VI9" s="22">
        <v>13984</v>
      </c>
      <c r="VJ9" s="1" t="s">
        <v>57</v>
      </c>
      <c r="VK9" s="1">
        <v>2023</v>
      </c>
      <c r="VL9" s="1" t="s">
        <v>18</v>
      </c>
      <c r="VM9" s="1">
        <v>84556.16707762242</v>
      </c>
      <c r="VN9" s="1">
        <v>9238375.7834414635</v>
      </c>
      <c r="VO9" s="1">
        <v>9.1527092055703006E-3</v>
      </c>
      <c r="VP9" s="1"/>
      <c r="VQ9" s="22">
        <v>8510</v>
      </c>
      <c r="VR9" s="1" t="s">
        <v>17</v>
      </c>
      <c r="VS9" s="1">
        <v>2024</v>
      </c>
      <c r="VT9" s="1" t="s">
        <v>18</v>
      </c>
      <c r="VU9" s="1">
        <v>100657.66610999691</v>
      </c>
      <c r="VV9" s="1">
        <v>5123318.5714479852</v>
      </c>
      <c r="VW9" s="1">
        <v>1.9646966064331299E-2</v>
      </c>
      <c r="VX9" s="1"/>
      <c r="VY9" s="22">
        <v>9430</v>
      </c>
      <c r="VZ9" s="1" t="s">
        <v>61</v>
      </c>
      <c r="WA9" s="1">
        <v>2024</v>
      </c>
      <c r="WB9" s="1" t="s">
        <v>18</v>
      </c>
      <c r="WC9" s="1">
        <v>654411.39410324011</v>
      </c>
      <c r="WD9" s="1">
        <v>64811890.820126347</v>
      </c>
      <c r="WE9" s="1">
        <v>1.0097088448159E-2</v>
      </c>
      <c r="WF9" s="1"/>
      <c r="WG9" s="22">
        <v>10350</v>
      </c>
      <c r="WH9" s="1" t="s">
        <v>44</v>
      </c>
      <c r="WI9" s="1">
        <v>2024</v>
      </c>
      <c r="WJ9" s="1" t="s">
        <v>18</v>
      </c>
      <c r="WK9" s="1">
        <v>56155.230892397238</v>
      </c>
      <c r="WL9" s="1">
        <v>8046732.0684004631</v>
      </c>
      <c r="WM9" s="1">
        <v>6.9786380874938001E-3</v>
      </c>
      <c r="WN9" s="1"/>
      <c r="WO9" s="22">
        <v>11270</v>
      </c>
      <c r="WP9" s="1" t="s">
        <v>38</v>
      </c>
      <c r="WQ9" s="1">
        <v>2024</v>
      </c>
      <c r="WR9" s="1" t="s">
        <v>18</v>
      </c>
      <c r="WS9" s="1">
        <v>120696.2495594666</v>
      </c>
      <c r="WT9" s="1">
        <v>7153354.2877160665</v>
      </c>
      <c r="WU9" s="1">
        <v>1.6872678844766498E-2</v>
      </c>
      <c r="WV9" s="1"/>
      <c r="WW9" s="22">
        <v>12190</v>
      </c>
      <c r="WX9" s="1" t="s">
        <v>31</v>
      </c>
      <c r="WY9" s="1">
        <v>2024</v>
      </c>
      <c r="WZ9" s="1" t="s">
        <v>18</v>
      </c>
      <c r="XA9" s="1">
        <v>81161.151195388971</v>
      </c>
      <c r="XB9" s="1">
        <v>10948294.03609846</v>
      </c>
      <c r="XC9" s="1">
        <v>7.4131322129078999E-3</v>
      </c>
      <c r="XD9" s="1"/>
      <c r="XE9" s="22">
        <v>13110</v>
      </c>
      <c r="XF9" s="1" t="s">
        <v>51</v>
      </c>
      <c r="XG9" s="1">
        <v>2024</v>
      </c>
      <c r="XH9" s="1" t="s">
        <v>18</v>
      </c>
      <c r="XI9" s="1">
        <v>84202.311406672408</v>
      </c>
      <c r="XJ9" s="1">
        <v>5413637.436055948</v>
      </c>
      <c r="XK9" s="1">
        <v>1.55537404196793E-2</v>
      </c>
      <c r="XL9" s="1"/>
      <c r="XM9" s="22">
        <v>14030</v>
      </c>
      <c r="XN9" s="1" t="s">
        <v>57</v>
      </c>
      <c r="XO9" s="1">
        <v>2024</v>
      </c>
      <c r="XP9" s="1" t="s">
        <v>18</v>
      </c>
      <c r="XQ9" s="1">
        <v>80803.975498162719</v>
      </c>
      <c r="XR9" s="1">
        <v>8828421.583522588</v>
      </c>
      <c r="XS9" s="1">
        <v>9.1527092055703006E-3</v>
      </c>
      <c r="XT9" s="1"/>
    </row>
    <row r="10" spans="1:644" x14ac:dyDescent="0.25">
      <c r="A10" s="2">
        <v>1</v>
      </c>
      <c r="B10" s="1" t="s">
        <v>17</v>
      </c>
      <c r="C10" s="1" t="s">
        <v>20</v>
      </c>
      <c r="D10" s="1">
        <v>8.3792058324908296E-4</v>
      </c>
      <c r="E10" s="1">
        <v>9.4899381846050344E-4</v>
      </c>
      <c r="F10" s="1">
        <v>1.050122033015467E-3</v>
      </c>
      <c r="G10" s="1">
        <v>1.1250531119752999E-3</v>
      </c>
      <c r="H10" s="1">
        <v>1.051236200187625E-3</v>
      </c>
      <c r="I10" s="1">
        <v>1.0293710155011169E-3</v>
      </c>
      <c r="J10" s="1">
        <v>9.8204577351072636E-4</v>
      </c>
      <c r="K10" s="1">
        <v>9.8204577351070185E-4</v>
      </c>
      <c r="L10" s="1">
        <v>9.8204577351070185E-4</v>
      </c>
      <c r="M10" s="1">
        <v>9.8204577351070207E-4</v>
      </c>
      <c r="N10" s="1">
        <v>9.8204577351070207E-4</v>
      </c>
      <c r="O10" s="1">
        <v>9.9572051181296643E-4</v>
      </c>
      <c r="P10" s="1"/>
      <c r="Q10" s="2">
        <v>25</v>
      </c>
      <c r="R10" s="1" t="s">
        <v>17</v>
      </c>
      <c r="S10" s="17" t="s">
        <v>21</v>
      </c>
      <c r="T10" s="17">
        <v>7.1955435501400211E-2</v>
      </c>
      <c r="U10" s="1"/>
      <c r="V10" s="2" t="s">
        <v>31</v>
      </c>
      <c r="W10" s="19">
        <v>8.9539564171113931E-3</v>
      </c>
      <c r="X10" s="16">
        <v>1.1463553222480379E-2</v>
      </c>
      <c r="Y10" s="18">
        <v>7.470295137599367E-2</v>
      </c>
      <c r="Z10" s="17">
        <v>6.8286703893259582E-2</v>
      </c>
      <c r="AA10" s="1">
        <f t="shared" ref="AA10:AA15" si="0">SUM(W10:Z10)</f>
        <v>0.16340716490884502</v>
      </c>
      <c r="AC10" s="22">
        <v>875</v>
      </c>
      <c r="AD10" s="1" t="s">
        <v>17</v>
      </c>
      <c r="AE10" s="1">
        <v>2014</v>
      </c>
      <c r="AF10" s="1" t="s">
        <v>20</v>
      </c>
      <c r="AG10" s="1">
        <v>3425.6</v>
      </c>
      <c r="AH10" s="1">
        <v>4088215.6</v>
      </c>
      <c r="AI10" s="1">
        <v>8.3792058324900001E-4</v>
      </c>
      <c r="AJ10" s="1"/>
      <c r="AK10" s="22">
        <v>2071</v>
      </c>
      <c r="AL10" s="1" t="s">
        <v>61</v>
      </c>
      <c r="AM10" s="1">
        <v>2014</v>
      </c>
      <c r="AN10" s="1" t="s">
        <v>20</v>
      </c>
      <c r="AO10" s="1">
        <v>5612.7</v>
      </c>
      <c r="AP10" s="1">
        <v>40350049.200000003</v>
      </c>
      <c r="AQ10" s="1">
        <v>1.3910020213799999E-4</v>
      </c>
      <c r="AR10" s="1"/>
      <c r="AS10" s="22">
        <v>3267</v>
      </c>
      <c r="AT10" s="1" t="s">
        <v>44</v>
      </c>
      <c r="AU10" s="1">
        <v>2014</v>
      </c>
      <c r="AV10" s="1" t="s">
        <v>20</v>
      </c>
      <c r="AW10" s="1">
        <v>3238.3</v>
      </c>
      <c r="AX10" s="1">
        <v>6735816.8000000007</v>
      </c>
      <c r="AY10" s="1">
        <v>4.8075832466219998E-4</v>
      </c>
      <c r="AZ10" s="1"/>
      <c r="BA10" s="22">
        <v>4463</v>
      </c>
      <c r="BB10" s="1" t="s">
        <v>38</v>
      </c>
      <c r="BC10" s="1">
        <v>2014</v>
      </c>
      <c r="BD10" s="1" t="s">
        <v>20</v>
      </c>
      <c r="BE10" s="1">
        <v>3049.6</v>
      </c>
      <c r="BF10" s="1">
        <v>6538596.7000000002</v>
      </c>
      <c r="BG10" s="1">
        <v>4.6639977045830001E-4</v>
      </c>
      <c r="BH10" s="1"/>
      <c r="BI10" s="22">
        <v>5659</v>
      </c>
      <c r="BJ10" s="1" t="s">
        <v>31</v>
      </c>
      <c r="BK10" s="1">
        <v>2014</v>
      </c>
      <c r="BL10" s="1" t="s">
        <v>20</v>
      </c>
      <c r="BM10" s="1">
        <v>533.5</v>
      </c>
      <c r="BN10" s="1">
        <v>9155477.5</v>
      </c>
      <c r="BO10" s="1">
        <v>5.8271127857613113E-5</v>
      </c>
      <c r="BP10" s="1"/>
      <c r="BQ10" s="22">
        <v>6855</v>
      </c>
      <c r="BR10" s="1" t="s">
        <v>51</v>
      </c>
      <c r="BS10" s="1">
        <v>2014</v>
      </c>
      <c r="BT10" s="1" t="s">
        <v>20</v>
      </c>
      <c r="BU10" s="1">
        <v>2264.1999999999998</v>
      </c>
      <c r="BV10" s="1">
        <v>4981875.5</v>
      </c>
      <c r="BW10" s="1">
        <v>4.5448747163589999E-4</v>
      </c>
      <c r="BX10" s="1"/>
      <c r="BY10" s="22">
        <v>8051</v>
      </c>
      <c r="BZ10" s="1" t="s">
        <v>57</v>
      </c>
      <c r="CA10" s="1">
        <v>2014</v>
      </c>
      <c r="CB10" s="1" t="s">
        <v>20</v>
      </c>
      <c r="CC10" s="1">
        <v>13762.3</v>
      </c>
      <c r="CD10" s="1">
        <v>11026913.800000001</v>
      </c>
      <c r="CE10" s="1">
        <v>1.2480645309840999E-3</v>
      </c>
      <c r="CF10" s="1"/>
      <c r="CG10" s="22">
        <v>921</v>
      </c>
      <c r="CH10" s="1" t="s">
        <v>17</v>
      </c>
      <c r="CI10" s="1">
        <v>2015</v>
      </c>
      <c r="CJ10" s="1" t="s">
        <v>20</v>
      </c>
      <c r="CK10" s="1">
        <v>3373.8</v>
      </c>
      <c r="CL10" s="1">
        <v>3555133.8</v>
      </c>
      <c r="CM10" s="1">
        <v>9.4899381846049998E-4</v>
      </c>
      <c r="CN10" s="1"/>
      <c r="CO10" s="22">
        <v>2117</v>
      </c>
      <c r="CP10" s="1" t="s">
        <v>61</v>
      </c>
      <c r="CQ10" s="1">
        <v>2015</v>
      </c>
      <c r="CR10" s="1" t="s">
        <v>20</v>
      </c>
      <c r="CS10" s="1">
        <v>5197.5</v>
      </c>
      <c r="CT10" s="1">
        <v>41208556.399999999</v>
      </c>
      <c r="CU10" s="1">
        <v>1.2612671867340001E-4</v>
      </c>
      <c r="CV10" s="1"/>
      <c r="CW10" s="22">
        <v>3313</v>
      </c>
      <c r="CX10" s="1" t="s">
        <v>44</v>
      </c>
      <c r="CY10" s="1">
        <v>2015</v>
      </c>
      <c r="CZ10" s="1" t="s">
        <v>20</v>
      </c>
      <c r="DA10" s="1">
        <v>2941.3</v>
      </c>
      <c r="DB10" s="1">
        <v>6404349.4000000004</v>
      </c>
      <c r="DC10" s="1">
        <v>4.5926601068950002E-4</v>
      </c>
      <c r="DD10" s="1"/>
      <c r="DE10" s="22">
        <v>4509</v>
      </c>
      <c r="DF10" s="1" t="s">
        <v>38</v>
      </c>
      <c r="DG10" s="1">
        <v>2015</v>
      </c>
      <c r="DH10" s="1" t="s">
        <v>20</v>
      </c>
      <c r="DI10" s="1">
        <v>2392.1</v>
      </c>
      <c r="DJ10" s="1">
        <v>5531517.5999999996</v>
      </c>
      <c r="DK10" s="1">
        <v>4.3244913475460001E-4</v>
      </c>
      <c r="DL10" s="1"/>
      <c r="DM10" s="22">
        <v>5705</v>
      </c>
      <c r="DN10" s="1" t="s">
        <v>31</v>
      </c>
      <c r="DO10" s="1">
        <v>2015</v>
      </c>
      <c r="DP10" s="1" t="s">
        <v>20</v>
      </c>
      <c r="DQ10" s="1">
        <v>462.8</v>
      </c>
      <c r="DR10" s="1">
        <v>7894528</v>
      </c>
      <c r="DS10" s="1">
        <v>5.8622884104027498E-5</v>
      </c>
      <c r="DT10" s="1"/>
      <c r="DU10" s="22">
        <v>6901</v>
      </c>
      <c r="DV10" s="1" t="s">
        <v>51</v>
      </c>
      <c r="DW10" s="1">
        <v>2015</v>
      </c>
      <c r="DX10" s="1" t="s">
        <v>20</v>
      </c>
      <c r="DY10" s="1">
        <v>1967.3</v>
      </c>
      <c r="DZ10" s="1">
        <v>4209274.5999999996</v>
      </c>
      <c r="EA10" s="1">
        <v>4.673726917222E-4</v>
      </c>
      <c r="EB10" s="1"/>
      <c r="EC10" s="22">
        <v>8097</v>
      </c>
      <c r="ED10" s="1" t="s">
        <v>57</v>
      </c>
      <c r="EE10" s="1">
        <v>2015</v>
      </c>
      <c r="EF10" s="1" t="s">
        <v>20</v>
      </c>
      <c r="EG10" s="1">
        <v>12191.3</v>
      </c>
      <c r="EH10" s="1">
        <v>9729477.0999999996</v>
      </c>
      <c r="EI10" s="1">
        <v>1.2530272567268001E-3</v>
      </c>
      <c r="EJ10" s="1"/>
      <c r="EK10" s="22">
        <v>967</v>
      </c>
      <c r="EL10" s="1" t="s">
        <v>17</v>
      </c>
      <c r="EM10" s="1">
        <v>2016</v>
      </c>
      <c r="EN10" s="1" t="s">
        <v>20</v>
      </c>
      <c r="EO10" s="1">
        <v>3637</v>
      </c>
      <c r="EP10" s="1">
        <v>3463407</v>
      </c>
      <c r="EQ10" s="1">
        <v>1.0501220330154E-3</v>
      </c>
      <c r="ER10" s="1"/>
      <c r="ES10" s="22">
        <v>2163</v>
      </c>
      <c r="ET10" s="1" t="s">
        <v>61</v>
      </c>
      <c r="EU10" s="1">
        <v>2016</v>
      </c>
      <c r="EV10" s="1" t="s">
        <v>20</v>
      </c>
      <c r="EW10" s="1">
        <v>5545.9</v>
      </c>
      <c r="EX10" s="1">
        <v>42141395.200000003</v>
      </c>
      <c r="EY10" s="1">
        <v>1.3160219242100001E-4</v>
      </c>
      <c r="EZ10" s="1"/>
      <c r="FA10" s="22">
        <v>3359</v>
      </c>
      <c r="FB10" s="1" t="s">
        <v>44</v>
      </c>
      <c r="FC10" s="1">
        <v>2016</v>
      </c>
      <c r="FD10" s="1" t="s">
        <v>20</v>
      </c>
      <c r="FE10" s="1">
        <v>2381.3000000000002</v>
      </c>
      <c r="FF10" s="1">
        <v>5868597.7999999998</v>
      </c>
      <c r="FG10" s="1">
        <v>4.0576984164760003E-4</v>
      </c>
      <c r="FH10" s="1"/>
      <c r="FI10" s="22">
        <v>4555</v>
      </c>
      <c r="FJ10" s="1" t="s">
        <v>38</v>
      </c>
      <c r="FK10" s="1">
        <v>2016</v>
      </c>
      <c r="FL10" s="1" t="s">
        <v>20</v>
      </c>
      <c r="FM10" s="1">
        <v>2411.5</v>
      </c>
      <c r="FN10" s="1">
        <v>5582986.5</v>
      </c>
      <c r="FO10" s="1">
        <v>4.3193727944709998E-4</v>
      </c>
      <c r="FP10" s="1"/>
      <c r="FQ10" s="22">
        <v>5751</v>
      </c>
      <c r="FR10" s="1" t="s">
        <v>31</v>
      </c>
      <c r="FS10" s="1">
        <v>2016</v>
      </c>
      <c r="FT10" s="1" t="s">
        <v>20</v>
      </c>
      <c r="FU10" s="1">
        <v>492.6</v>
      </c>
      <c r="FV10" s="1">
        <v>8130820.9000000004</v>
      </c>
      <c r="FW10" s="1">
        <v>6.0584288604856608E-5</v>
      </c>
      <c r="FX10" s="1"/>
      <c r="FY10" s="22">
        <v>6947</v>
      </c>
      <c r="FZ10" s="1" t="s">
        <v>51</v>
      </c>
      <c r="GA10" s="1">
        <v>2016</v>
      </c>
      <c r="GB10" s="1" t="s">
        <v>20</v>
      </c>
      <c r="GC10" s="1">
        <v>1903.5</v>
      </c>
      <c r="GD10" s="1">
        <v>4230502.5999999996</v>
      </c>
      <c r="GE10" s="1">
        <v>4.499465382671E-4</v>
      </c>
      <c r="GF10" s="1"/>
      <c r="GG10" s="22">
        <v>8143</v>
      </c>
      <c r="GH10" s="1" t="s">
        <v>57</v>
      </c>
      <c r="GI10" s="1">
        <v>2016</v>
      </c>
      <c r="GJ10" s="1" t="s">
        <v>20</v>
      </c>
      <c r="GK10" s="1">
        <v>13456.2</v>
      </c>
      <c r="GL10" s="1">
        <v>10773649.5</v>
      </c>
      <c r="GM10" s="1">
        <v>1.2489918109920999E-3</v>
      </c>
      <c r="GN10" s="1"/>
      <c r="GO10" s="22">
        <v>1013</v>
      </c>
      <c r="GP10" s="1" t="s">
        <v>17</v>
      </c>
      <c r="GQ10" s="1">
        <v>2017</v>
      </c>
      <c r="GR10" s="1" t="s">
        <v>20</v>
      </c>
      <c r="GS10" s="1">
        <v>4184.8999999999996</v>
      </c>
      <c r="GT10" s="1">
        <v>3719735.5</v>
      </c>
      <c r="GU10" s="1">
        <v>1.1250531119752999E-3</v>
      </c>
      <c r="GV10" s="1"/>
      <c r="GW10" s="22">
        <v>2209</v>
      </c>
      <c r="GX10" s="1" t="s">
        <v>61</v>
      </c>
      <c r="GY10" s="1">
        <v>2017</v>
      </c>
      <c r="GZ10" s="1" t="s">
        <v>20</v>
      </c>
      <c r="HA10" s="1">
        <v>5855.5</v>
      </c>
      <c r="HB10" s="1">
        <v>44107004.100000001</v>
      </c>
      <c r="HC10" s="1">
        <v>1.3275669294429999E-4</v>
      </c>
      <c r="HD10" s="1"/>
      <c r="HE10" s="22">
        <v>3405</v>
      </c>
      <c r="HF10" s="1" t="s">
        <v>44</v>
      </c>
      <c r="HG10" s="1">
        <v>2017</v>
      </c>
      <c r="HH10" s="1" t="s">
        <v>20</v>
      </c>
      <c r="HI10" s="1">
        <v>2621.7</v>
      </c>
      <c r="HJ10" s="1">
        <v>5855367.5</v>
      </c>
      <c r="HK10" s="1">
        <v>4.4774303235450001E-4</v>
      </c>
      <c r="HL10" s="1"/>
      <c r="HM10" s="22">
        <v>4601</v>
      </c>
      <c r="HN10" s="1" t="s">
        <v>38</v>
      </c>
      <c r="HO10" s="1">
        <v>2017</v>
      </c>
      <c r="HP10" s="1" t="s">
        <v>20</v>
      </c>
      <c r="HQ10" s="1">
        <v>2695.6</v>
      </c>
      <c r="HR10" s="1">
        <v>5923445.7000000002</v>
      </c>
      <c r="HS10" s="1">
        <v>4.5507296538560002E-4</v>
      </c>
      <c r="HT10" s="1"/>
      <c r="HU10" s="22">
        <v>5797</v>
      </c>
      <c r="HV10" s="1" t="s">
        <v>31</v>
      </c>
      <c r="HW10" s="1">
        <v>2017</v>
      </c>
      <c r="HX10" s="1" t="s">
        <v>20</v>
      </c>
      <c r="HY10" s="1">
        <v>537</v>
      </c>
      <c r="HZ10" s="1">
        <v>8686095.3000000007</v>
      </c>
      <c r="IA10" s="1">
        <v>6.1822945921396921E-5</v>
      </c>
      <c r="IB10" s="1"/>
      <c r="IC10" s="22">
        <v>6993</v>
      </c>
      <c r="ID10" s="1" t="s">
        <v>51</v>
      </c>
      <c r="IE10" s="1">
        <v>2017</v>
      </c>
      <c r="IF10" s="1" t="s">
        <v>20</v>
      </c>
      <c r="IG10" s="1">
        <v>1893</v>
      </c>
      <c r="IH10" s="1">
        <v>4472691.8</v>
      </c>
      <c r="II10" s="1">
        <v>4.2323506394960001E-4</v>
      </c>
      <c r="IJ10" s="1"/>
      <c r="IK10" s="22">
        <v>8189</v>
      </c>
      <c r="IL10" s="1" t="s">
        <v>57</v>
      </c>
      <c r="IM10" s="1">
        <v>2017</v>
      </c>
      <c r="IN10" s="1" t="s">
        <v>20</v>
      </c>
      <c r="IO10" s="1">
        <v>13495</v>
      </c>
      <c r="IP10" s="1">
        <v>10750260.5</v>
      </c>
      <c r="IQ10" s="1">
        <v>1.2553184176327E-3</v>
      </c>
      <c r="IR10" s="1"/>
      <c r="IS10" s="22">
        <v>1059</v>
      </c>
      <c r="IT10" s="1" t="s">
        <v>17</v>
      </c>
      <c r="IU10" s="1">
        <v>2018</v>
      </c>
      <c r="IV10" s="1" t="s">
        <v>20</v>
      </c>
      <c r="IW10" s="1">
        <v>4104.2</v>
      </c>
      <c r="IX10" s="1">
        <v>3904165.4</v>
      </c>
      <c r="IY10" s="1">
        <v>1.0512362001876001E-3</v>
      </c>
      <c r="IZ10" s="1"/>
      <c r="JA10" s="22">
        <v>2255</v>
      </c>
      <c r="JB10" s="1" t="s">
        <v>61</v>
      </c>
      <c r="JC10" s="1">
        <v>2018</v>
      </c>
      <c r="JD10" s="1" t="s">
        <v>20</v>
      </c>
      <c r="JE10" s="1">
        <v>5702.8</v>
      </c>
      <c r="JF10" s="1">
        <v>46669099.200000003</v>
      </c>
      <c r="JG10" s="1">
        <v>1.2219648756359999E-4</v>
      </c>
      <c r="JH10" s="1"/>
      <c r="JI10" s="22">
        <v>3451</v>
      </c>
      <c r="JJ10" s="1" t="s">
        <v>44</v>
      </c>
      <c r="JK10" s="1">
        <v>2018</v>
      </c>
      <c r="JL10" s="1" t="s">
        <v>20</v>
      </c>
      <c r="JM10" s="1">
        <v>2608.3000000000002</v>
      </c>
      <c r="JN10" s="1">
        <v>6336724.7000000002</v>
      </c>
      <c r="JO10" s="1">
        <v>4.1161643017250001E-4</v>
      </c>
      <c r="JP10" s="1"/>
      <c r="JQ10" s="22">
        <v>4647</v>
      </c>
      <c r="JR10" s="1" t="s">
        <v>38</v>
      </c>
      <c r="JS10" s="1">
        <v>2018</v>
      </c>
      <c r="JT10" s="1" t="s">
        <v>20</v>
      </c>
      <c r="JU10" s="1">
        <v>2767.5</v>
      </c>
      <c r="JV10" s="1">
        <v>6390706</v>
      </c>
      <c r="JW10" s="1">
        <v>4.3305074588E-4</v>
      </c>
      <c r="JX10" s="1"/>
      <c r="JY10" s="22">
        <v>5843</v>
      </c>
      <c r="JZ10" s="1" t="s">
        <v>31</v>
      </c>
      <c r="KA10" s="1">
        <v>2018</v>
      </c>
      <c r="KB10" s="1" t="s">
        <v>20</v>
      </c>
      <c r="KC10" s="1">
        <v>605</v>
      </c>
      <c r="KD10" s="1">
        <v>9443218.3000000007</v>
      </c>
      <c r="KE10" s="1">
        <v>6.4067141177918119E-5</v>
      </c>
      <c r="KF10" s="1"/>
      <c r="KG10" s="22">
        <v>7039</v>
      </c>
      <c r="KH10" s="1" t="s">
        <v>51</v>
      </c>
      <c r="KI10" s="1">
        <v>2018</v>
      </c>
      <c r="KJ10" s="1" t="s">
        <v>20</v>
      </c>
      <c r="KK10" s="1">
        <v>2052.9</v>
      </c>
      <c r="KL10" s="1">
        <v>4803387.8</v>
      </c>
      <c r="KM10" s="1">
        <v>4.2738585462530001E-4</v>
      </c>
      <c r="KN10" s="1"/>
      <c r="KO10" s="22">
        <v>8235</v>
      </c>
      <c r="KP10" s="1" t="s">
        <v>57</v>
      </c>
      <c r="KQ10" s="1">
        <v>2018</v>
      </c>
      <c r="KR10" s="1" t="s">
        <v>20</v>
      </c>
      <c r="KS10" s="1">
        <v>13370.7</v>
      </c>
      <c r="KT10" s="1">
        <v>11172914.4</v>
      </c>
      <c r="KU10" s="1">
        <v>1.1967065638666E-3</v>
      </c>
      <c r="KV10" s="1"/>
      <c r="KW10" s="22">
        <v>1105</v>
      </c>
      <c r="KX10" s="1" t="s">
        <v>17</v>
      </c>
      <c r="KY10" s="1">
        <v>2019</v>
      </c>
      <c r="KZ10" s="1" t="s">
        <v>20</v>
      </c>
      <c r="LA10" s="1">
        <v>4071.5</v>
      </c>
      <c r="LB10" s="1">
        <v>3955328</v>
      </c>
      <c r="LC10" s="1">
        <v>1.0293710155011E-3</v>
      </c>
      <c r="LD10" s="1"/>
      <c r="LE10" s="22">
        <v>2301</v>
      </c>
      <c r="LF10" s="1" t="s">
        <v>61</v>
      </c>
      <c r="LG10" s="1">
        <v>2019</v>
      </c>
      <c r="LH10" s="1" t="s">
        <v>20</v>
      </c>
      <c r="LI10" s="1">
        <v>5613.5</v>
      </c>
      <c r="LJ10" s="1">
        <v>48356774.5</v>
      </c>
      <c r="LK10" s="1">
        <v>1.1608507924770001E-4</v>
      </c>
      <c r="LL10" s="1"/>
      <c r="LM10" s="22">
        <v>3497</v>
      </c>
      <c r="LN10" s="1" t="s">
        <v>44</v>
      </c>
      <c r="LO10" s="1">
        <v>2019</v>
      </c>
      <c r="LP10" s="1" t="s">
        <v>20</v>
      </c>
      <c r="LQ10" s="1">
        <v>2786.4</v>
      </c>
      <c r="LR10" s="1">
        <v>6269787.0999999996</v>
      </c>
      <c r="LS10" s="1">
        <v>4.4441700420729999E-4</v>
      </c>
      <c r="LT10" s="1"/>
      <c r="LU10" s="22">
        <v>4693</v>
      </c>
      <c r="LV10" s="1" t="s">
        <v>38</v>
      </c>
      <c r="LW10" s="1">
        <v>2019</v>
      </c>
      <c r="LX10" s="1" t="s">
        <v>20</v>
      </c>
      <c r="LY10" s="1">
        <v>2690.8</v>
      </c>
      <c r="LZ10" s="1">
        <v>6182094.5</v>
      </c>
      <c r="MA10" s="1">
        <v>4.352570152397E-4</v>
      </c>
      <c r="MB10" s="1"/>
      <c r="MC10" s="22">
        <v>5889</v>
      </c>
      <c r="MD10" s="1" t="s">
        <v>31</v>
      </c>
      <c r="ME10" s="1">
        <v>2019</v>
      </c>
      <c r="MF10" s="1" t="s">
        <v>20</v>
      </c>
      <c r="MG10" s="1">
        <v>479.1</v>
      </c>
      <c r="MH10" s="1">
        <v>9237079</v>
      </c>
      <c r="MI10" s="1">
        <v>5.186704584858482E-5</v>
      </c>
      <c r="MJ10" s="1"/>
      <c r="MK10" s="22">
        <v>7085</v>
      </c>
      <c r="ML10" s="1" t="s">
        <v>51</v>
      </c>
      <c r="MM10" s="1">
        <v>2019</v>
      </c>
      <c r="MN10" s="1" t="s">
        <v>20</v>
      </c>
      <c r="MO10" s="1">
        <v>1788.5</v>
      </c>
      <c r="MP10" s="1">
        <v>4608662</v>
      </c>
      <c r="MQ10" s="1">
        <v>3.8807358838629998E-4</v>
      </c>
      <c r="MR10" s="1"/>
      <c r="MS10" s="22">
        <v>8281</v>
      </c>
      <c r="MT10" s="1" t="s">
        <v>57</v>
      </c>
      <c r="MU10" s="1">
        <v>2019</v>
      </c>
      <c r="MV10" s="1" t="s">
        <v>20</v>
      </c>
      <c r="MW10" s="1">
        <v>12990.7</v>
      </c>
      <c r="MX10" s="1">
        <v>11338077</v>
      </c>
      <c r="MY10" s="1">
        <v>1.1457586678940001E-3</v>
      </c>
      <c r="MZ10" s="1"/>
      <c r="NA10" s="22">
        <v>1151</v>
      </c>
      <c r="NB10" s="1" t="s">
        <v>17</v>
      </c>
      <c r="NC10" s="1">
        <v>2020</v>
      </c>
      <c r="ND10" s="1" t="s">
        <v>20</v>
      </c>
      <c r="NE10" s="1">
        <v>3716.8</v>
      </c>
      <c r="NF10" s="1">
        <v>3784752.3</v>
      </c>
      <c r="NG10" s="1">
        <v>9.820457735106999E-4</v>
      </c>
      <c r="NH10" s="1"/>
      <c r="NI10" s="22">
        <v>2347</v>
      </c>
      <c r="NJ10" s="1" t="s">
        <v>61</v>
      </c>
      <c r="NK10" s="1">
        <v>2020</v>
      </c>
      <c r="NL10" s="1" t="s">
        <v>20</v>
      </c>
      <c r="NM10" s="1">
        <v>4784.5</v>
      </c>
      <c r="NN10" s="1">
        <v>47421769.399999999</v>
      </c>
      <c r="NO10" s="1">
        <v>1.00892481671E-4</v>
      </c>
      <c r="NP10" s="1"/>
      <c r="NQ10" s="22">
        <v>3543</v>
      </c>
      <c r="NR10" s="1" t="s">
        <v>44</v>
      </c>
      <c r="NS10" s="1">
        <v>2020</v>
      </c>
      <c r="NT10" s="1" t="s">
        <v>20</v>
      </c>
      <c r="NU10" s="1">
        <v>2311.5</v>
      </c>
      <c r="NV10" s="1">
        <v>5955345.3666666672</v>
      </c>
      <c r="NW10" s="1">
        <v>3.8813869854429999E-4</v>
      </c>
      <c r="NX10" s="1"/>
      <c r="NY10" s="22">
        <v>4739</v>
      </c>
      <c r="NZ10" s="1" t="s">
        <v>38</v>
      </c>
      <c r="OA10" s="1">
        <v>2020</v>
      </c>
      <c r="OB10" s="1" t="s">
        <v>20</v>
      </c>
      <c r="OC10" s="1">
        <v>2460.1999999999998</v>
      </c>
      <c r="OD10" s="1">
        <v>5990228.4000000004</v>
      </c>
      <c r="OE10" s="1">
        <v>4.1070220294099998E-4</v>
      </c>
      <c r="OF10" s="1"/>
      <c r="OG10" s="22">
        <v>5935</v>
      </c>
      <c r="OH10" s="1" t="s">
        <v>31</v>
      </c>
      <c r="OI10" s="1">
        <v>2020</v>
      </c>
      <c r="OJ10" s="1" t="s">
        <v>20</v>
      </c>
      <c r="OK10" s="1">
        <v>487.3</v>
      </c>
      <c r="OL10" s="1">
        <v>9257180.0999999996</v>
      </c>
      <c r="OM10" s="1">
        <v>5.2640220319360538E-5</v>
      </c>
      <c r="ON10" s="1"/>
      <c r="OO10" s="22">
        <v>7131</v>
      </c>
      <c r="OP10" s="1" t="s">
        <v>51</v>
      </c>
      <c r="OQ10" s="1">
        <v>2020</v>
      </c>
      <c r="OR10" s="1" t="s">
        <v>20</v>
      </c>
      <c r="OS10" s="1">
        <v>1430.7</v>
      </c>
      <c r="OT10" s="1">
        <v>4352046.4000000004</v>
      </c>
      <c r="OU10" s="1">
        <v>3.287418994429E-4</v>
      </c>
      <c r="OV10" s="1"/>
      <c r="OW10" s="22">
        <v>8327</v>
      </c>
      <c r="OX10" s="1" t="s">
        <v>57</v>
      </c>
      <c r="OY10" s="1">
        <v>2020</v>
      </c>
      <c r="OZ10" s="1" t="s">
        <v>20</v>
      </c>
      <c r="PA10" s="1">
        <v>13564.7</v>
      </c>
      <c r="PB10" s="1">
        <v>11082248.733333331</v>
      </c>
      <c r="PC10" s="1">
        <v>1.2240024859936E-3</v>
      </c>
      <c r="PD10" s="1"/>
      <c r="PE10" s="22">
        <v>8373</v>
      </c>
      <c r="PF10" s="1" t="s">
        <v>17</v>
      </c>
      <c r="PG10" s="1">
        <v>2021</v>
      </c>
      <c r="PH10" s="1" t="s">
        <v>20</v>
      </c>
      <c r="PI10" s="1">
        <v>4539.9968496326583</v>
      </c>
      <c r="PJ10" s="1">
        <v>4622999.2247741111</v>
      </c>
      <c r="PK10" s="1">
        <v>9.820457735106999E-4</v>
      </c>
      <c r="PL10" s="1"/>
      <c r="PM10" s="22">
        <v>9293</v>
      </c>
      <c r="PN10" s="1" t="s">
        <v>61</v>
      </c>
      <c r="PO10" s="1">
        <v>2021</v>
      </c>
      <c r="PP10" s="1" t="s">
        <v>20</v>
      </c>
      <c r="PQ10" s="1">
        <v>5305.8991669001571</v>
      </c>
      <c r="PR10" s="1">
        <v>52589638.782026872</v>
      </c>
      <c r="PS10" s="1">
        <v>1.00892481671E-4</v>
      </c>
      <c r="PT10" s="1"/>
      <c r="PU10" s="22">
        <v>10213</v>
      </c>
      <c r="PV10" s="1" t="s">
        <v>44</v>
      </c>
      <c r="PW10" s="1">
        <v>2021</v>
      </c>
      <c r="PX10" s="1" t="s">
        <v>20</v>
      </c>
      <c r="PY10" s="1">
        <v>2694.2443135885969</v>
      </c>
      <c r="PZ10" s="1">
        <v>6941447.2808129201</v>
      </c>
      <c r="QA10" s="1">
        <v>3.8813869854429999E-4</v>
      </c>
      <c r="QB10" s="1"/>
      <c r="QC10" s="22">
        <v>11133</v>
      </c>
      <c r="QD10" s="1" t="s">
        <v>38</v>
      </c>
      <c r="QE10" s="1">
        <v>2021</v>
      </c>
      <c r="QF10" s="1" t="s">
        <v>20</v>
      </c>
      <c r="QG10" s="1">
        <v>2756.119340767782</v>
      </c>
      <c r="QH10" s="1">
        <v>6710748.8614170318</v>
      </c>
      <c r="QI10" s="1">
        <v>4.1070220294099998E-4</v>
      </c>
      <c r="QJ10" s="1"/>
      <c r="QK10" s="22">
        <v>12053</v>
      </c>
      <c r="QL10" s="1" t="s">
        <v>31</v>
      </c>
      <c r="QM10" s="1">
        <v>2021</v>
      </c>
      <c r="QN10" s="1" t="s">
        <v>20</v>
      </c>
      <c r="QO10" s="1">
        <v>537.77951798667061</v>
      </c>
      <c r="QP10" s="1">
        <v>10216133.49495957</v>
      </c>
      <c r="QQ10" s="1">
        <v>5.2640220319360538E-5</v>
      </c>
      <c r="QR10" s="1"/>
      <c r="QS10" s="22">
        <v>12973</v>
      </c>
      <c r="QT10" s="1" t="s">
        <v>51</v>
      </c>
      <c r="QU10" s="1">
        <v>2021</v>
      </c>
      <c r="QV10" s="1" t="s">
        <v>20</v>
      </c>
      <c r="QW10" s="1">
        <v>1634.510320946591</v>
      </c>
      <c r="QX10" s="1">
        <v>4972017.0252605537</v>
      </c>
      <c r="QY10" s="1">
        <v>3.287418994429E-4</v>
      </c>
      <c r="QZ10" s="1"/>
      <c r="RA10" s="22">
        <v>13893</v>
      </c>
      <c r="RB10" s="1" t="s">
        <v>57</v>
      </c>
      <c r="RC10" s="1">
        <v>2021</v>
      </c>
      <c r="RD10" s="1" t="s">
        <v>20</v>
      </c>
      <c r="RE10" s="1">
        <v>13524.65597132551</v>
      </c>
      <c r="RF10" s="1">
        <v>11049533.09007922</v>
      </c>
      <c r="RG10" s="1">
        <v>1.2240024859936E-3</v>
      </c>
      <c r="RH10" s="1"/>
      <c r="RI10" s="22">
        <v>8419</v>
      </c>
      <c r="RJ10" s="1" t="s">
        <v>17</v>
      </c>
      <c r="RK10" s="1">
        <v>2022</v>
      </c>
      <c r="RL10" s="1" t="s">
        <v>20</v>
      </c>
      <c r="RM10" s="1">
        <v>4917.2037398529801</v>
      </c>
      <c r="RN10" s="1">
        <v>5007102.3902221443</v>
      </c>
      <c r="RO10" s="1">
        <v>9.820457735106999E-4</v>
      </c>
      <c r="RP10" s="1"/>
      <c r="RQ10" s="22">
        <v>9339</v>
      </c>
      <c r="RR10" s="1" t="s">
        <v>61</v>
      </c>
      <c r="RS10" s="1">
        <v>2022</v>
      </c>
      <c r="RT10" s="1" t="s">
        <v>20</v>
      </c>
      <c r="RU10" s="1">
        <v>5826.9846563373349</v>
      </c>
      <c r="RV10" s="1">
        <v>57754399.13688051</v>
      </c>
      <c r="RW10" s="1">
        <v>1.00892481671E-4</v>
      </c>
      <c r="RX10" s="1"/>
      <c r="RY10" s="22">
        <v>10259</v>
      </c>
      <c r="RZ10" s="1" t="s">
        <v>44</v>
      </c>
      <c r="SA10" s="1">
        <v>2022</v>
      </c>
      <c r="SB10" s="1" t="s">
        <v>20</v>
      </c>
      <c r="SC10" s="1">
        <v>2669.1474499215592</v>
      </c>
      <c r="SD10" s="1">
        <v>6876787.7563667288</v>
      </c>
      <c r="SE10" s="1">
        <v>3.8813869854429999E-4</v>
      </c>
      <c r="SF10" s="1"/>
      <c r="SG10" s="22">
        <v>11179</v>
      </c>
      <c r="SH10" s="1" t="s">
        <v>38</v>
      </c>
      <c r="SI10" s="1">
        <v>2022</v>
      </c>
      <c r="SJ10" s="1" t="s">
        <v>20</v>
      </c>
      <c r="SK10" s="1">
        <v>2598.051028539001</v>
      </c>
      <c r="SL10" s="1">
        <v>6325875.5612572851</v>
      </c>
      <c r="SM10" s="1">
        <v>4.1070220294099998E-4</v>
      </c>
      <c r="SN10" s="1"/>
      <c r="SO10" s="22">
        <v>12099</v>
      </c>
      <c r="SP10" s="1" t="s">
        <v>31</v>
      </c>
      <c r="SQ10" s="1">
        <v>2022</v>
      </c>
      <c r="SR10" s="1" t="s">
        <v>20</v>
      </c>
      <c r="SS10" s="1">
        <v>514.93659616155776</v>
      </c>
      <c r="ST10" s="1">
        <v>9782189.227885304</v>
      </c>
      <c r="SU10" s="1">
        <v>5.2640220319360538E-5</v>
      </c>
      <c r="SV10" s="1"/>
      <c r="SW10" s="22">
        <v>13019</v>
      </c>
      <c r="SX10" s="1" t="s">
        <v>51</v>
      </c>
      <c r="SY10" s="1">
        <v>2022</v>
      </c>
      <c r="SZ10" s="1" t="s">
        <v>20</v>
      </c>
      <c r="TA10" s="1">
        <v>1578.151775640757</v>
      </c>
      <c r="TB10" s="1">
        <v>4800579.963537232</v>
      </c>
      <c r="TC10" s="1">
        <v>3.287418994429E-4</v>
      </c>
      <c r="TD10" s="1"/>
      <c r="TE10" s="22">
        <v>13939</v>
      </c>
      <c r="TF10" s="1" t="s">
        <v>57</v>
      </c>
      <c r="TG10" s="1">
        <v>2022</v>
      </c>
      <c r="TH10" s="1" t="s">
        <v>20</v>
      </c>
      <c r="TI10" s="1">
        <v>11440.085151570431</v>
      </c>
      <c r="TJ10" s="1">
        <v>9346455.8140041605</v>
      </c>
      <c r="TK10" s="1">
        <v>1.2240024859936E-3</v>
      </c>
      <c r="TL10" s="1"/>
      <c r="TM10" s="22">
        <v>8465</v>
      </c>
      <c r="TN10" s="1" t="s">
        <v>17</v>
      </c>
      <c r="TO10" s="1">
        <v>2023</v>
      </c>
      <c r="TP10" s="1" t="s">
        <v>20</v>
      </c>
      <c r="TQ10" s="1">
        <v>4878.8836683415784</v>
      </c>
      <c r="TR10" s="1">
        <v>4968081.7329930915</v>
      </c>
      <c r="TS10" s="1">
        <v>9.820457735106999E-4</v>
      </c>
      <c r="TT10" s="1"/>
      <c r="TU10" s="22">
        <v>9385</v>
      </c>
      <c r="TV10" s="1" t="s">
        <v>61</v>
      </c>
      <c r="TW10" s="1">
        <v>2023</v>
      </c>
      <c r="TX10" s="1" t="s">
        <v>20</v>
      </c>
      <c r="TY10" s="1">
        <v>6210.9706871226617</v>
      </c>
      <c r="TZ10" s="1">
        <v>61560292.543660469</v>
      </c>
      <c r="UA10" s="1">
        <v>1.00892481671E-4</v>
      </c>
      <c r="UB10" s="1"/>
      <c r="UC10" s="22">
        <v>10305</v>
      </c>
      <c r="UD10" s="1" t="s">
        <v>44</v>
      </c>
      <c r="UE10" s="1">
        <v>2023</v>
      </c>
      <c r="UF10" s="1" t="s">
        <v>20</v>
      </c>
      <c r="UG10" s="1">
        <v>2888.4192963457972</v>
      </c>
      <c r="UH10" s="1">
        <v>7441719.4347760417</v>
      </c>
      <c r="UI10" s="1">
        <v>3.8813869854429999E-4</v>
      </c>
      <c r="UJ10" s="1"/>
      <c r="UK10" s="22">
        <v>11225</v>
      </c>
      <c r="UL10" s="1" t="s">
        <v>38</v>
      </c>
      <c r="UM10" s="1">
        <v>2023</v>
      </c>
      <c r="UN10" s="1" t="s">
        <v>20</v>
      </c>
      <c r="UO10" s="1">
        <v>2835.464746424268</v>
      </c>
      <c r="UP10" s="1">
        <v>6903943.3587640161</v>
      </c>
      <c r="UQ10" s="1">
        <v>4.1070220294099998E-4</v>
      </c>
      <c r="UR10" s="1"/>
      <c r="US10" s="22">
        <v>12145</v>
      </c>
      <c r="UT10" s="1" t="s">
        <v>31</v>
      </c>
      <c r="UU10" s="1">
        <v>2023</v>
      </c>
      <c r="UV10" s="1" t="s">
        <v>20</v>
      </c>
      <c r="UW10" s="1">
        <v>559.71960640992449</v>
      </c>
      <c r="UX10" s="1">
        <v>10632926.743356841</v>
      </c>
      <c r="UY10" s="1">
        <v>5.2640220319360538E-5</v>
      </c>
      <c r="UZ10" s="1"/>
      <c r="VA10" s="22">
        <v>13065</v>
      </c>
      <c r="VB10" s="1" t="s">
        <v>51</v>
      </c>
      <c r="VC10" s="1">
        <v>2023</v>
      </c>
      <c r="VD10" s="1" t="s">
        <v>20</v>
      </c>
      <c r="VE10" s="1">
        <v>1728.5662376534269</v>
      </c>
      <c r="VF10" s="1">
        <v>5258125.7228930313</v>
      </c>
      <c r="VG10" s="1">
        <v>3.287418994429E-4</v>
      </c>
      <c r="VH10" s="1"/>
      <c r="VI10" s="22">
        <v>13985</v>
      </c>
      <c r="VJ10" s="1" t="s">
        <v>57</v>
      </c>
      <c r="VK10" s="1">
        <v>2023</v>
      </c>
      <c r="VL10" s="1" t="s">
        <v>20</v>
      </c>
      <c r="VM10" s="1">
        <v>11307.79492547542</v>
      </c>
      <c r="VN10" s="1">
        <v>9238375.7834414635</v>
      </c>
      <c r="VO10" s="1">
        <v>1.2240024859936E-3</v>
      </c>
      <c r="VP10" s="1"/>
      <c r="VQ10" s="22">
        <v>8511</v>
      </c>
      <c r="VR10" s="1" t="s">
        <v>17</v>
      </c>
      <c r="VS10" s="1">
        <v>2024</v>
      </c>
      <c r="VT10" s="1" t="s">
        <v>20</v>
      </c>
      <c r="VU10" s="1">
        <v>5031.333349439371</v>
      </c>
      <c r="VV10" s="1">
        <v>5123318.5714479852</v>
      </c>
      <c r="VW10" s="1">
        <v>9.820457735106999E-4</v>
      </c>
      <c r="VX10" s="1"/>
      <c r="VY10" s="22">
        <v>9431</v>
      </c>
      <c r="VZ10" s="1" t="s">
        <v>61</v>
      </c>
      <c r="WA10" s="1">
        <v>2024</v>
      </c>
      <c r="WB10" s="1" t="s">
        <v>20</v>
      </c>
      <c r="WC10" s="1">
        <v>6539.0325066324503</v>
      </c>
      <c r="WD10" s="1">
        <v>64811890.820126347</v>
      </c>
      <c r="WE10" s="1">
        <v>1.00892481671E-4</v>
      </c>
      <c r="WF10" s="1"/>
      <c r="WG10" s="22">
        <v>10351</v>
      </c>
      <c r="WH10" s="1" t="s">
        <v>44</v>
      </c>
      <c r="WI10" s="1">
        <v>2024</v>
      </c>
      <c r="WJ10" s="1" t="s">
        <v>20</v>
      </c>
      <c r="WK10" s="1">
        <v>3123.2481125636382</v>
      </c>
      <c r="WL10" s="1">
        <v>8046732.0684004631</v>
      </c>
      <c r="WM10" s="1">
        <v>3.8813869854429999E-4</v>
      </c>
      <c r="WN10" s="1"/>
      <c r="WO10" s="22">
        <v>11271</v>
      </c>
      <c r="WP10" s="1" t="s">
        <v>38</v>
      </c>
      <c r="WQ10" s="1">
        <v>2024</v>
      </c>
      <c r="WR10" s="1" t="s">
        <v>20</v>
      </c>
      <c r="WS10" s="1">
        <v>2937.8983643824358</v>
      </c>
      <c r="WT10" s="1">
        <v>7153354.2877160665</v>
      </c>
      <c r="WU10" s="1">
        <v>4.1070220294099998E-4</v>
      </c>
      <c r="WV10" s="1"/>
      <c r="WW10" s="22">
        <v>12191</v>
      </c>
      <c r="WX10" s="1" t="s">
        <v>31</v>
      </c>
      <c r="WY10" s="1">
        <v>2024</v>
      </c>
      <c r="WZ10" s="1" t="s">
        <v>20</v>
      </c>
      <c r="XA10" s="1">
        <v>576.32061018136415</v>
      </c>
      <c r="XB10" s="1">
        <v>10948294.03609846</v>
      </c>
      <c r="XC10" s="1">
        <v>5.2640220319360538E-5</v>
      </c>
      <c r="XD10" s="1"/>
      <c r="XE10" s="22">
        <v>13111</v>
      </c>
      <c r="XF10" s="1" t="s">
        <v>51</v>
      </c>
      <c r="XG10" s="1">
        <v>2024</v>
      </c>
      <c r="XH10" s="1" t="s">
        <v>20</v>
      </c>
      <c r="XI10" s="1">
        <v>1779.6894536242239</v>
      </c>
      <c r="XJ10" s="1">
        <v>5413637.436055948</v>
      </c>
      <c r="XK10" s="1">
        <v>3.287418994429E-4</v>
      </c>
      <c r="XL10" s="1"/>
      <c r="XM10" s="22">
        <v>14031</v>
      </c>
      <c r="XN10" s="1" t="s">
        <v>57</v>
      </c>
      <c r="XO10" s="1">
        <v>2024</v>
      </c>
      <c r="XP10" s="1" t="s">
        <v>20</v>
      </c>
      <c r="XQ10" s="1">
        <v>10806.0099656312</v>
      </c>
      <c r="XR10" s="1">
        <v>8828421.583522588</v>
      </c>
      <c r="XS10" s="1">
        <v>1.2240024859936E-3</v>
      </c>
      <c r="XT10" s="1"/>
    </row>
    <row r="11" spans="1:644" x14ac:dyDescent="0.25">
      <c r="A11" s="2">
        <v>2</v>
      </c>
      <c r="B11" s="1" t="s">
        <v>17</v>
      </c>
      <c r="C11" s="1" t="s">
        <v>22</v>
      </c>
      <c r="D11" s="1">
        <v>3.8256617385834538E-2</v>
      </c>
      <c r="E11" s="1">
        <v>2.3131984512087839E-2</v>
      </c>
      <c r="F11" s="1">
        <v>2.0143315527167329E-2</v>
      </c>
      <c r="G11" s="1">
        <v>2.4908437710154389E-2</v>
      </c>
      <c r="H11" s="1">
        <v>2.6904751525127491E-2</v>
      </c>
      <c r="I11" s="1">
        <v>2.6497018704896281E-2</v>
      </c>
      <c r="J11" s="1">
        <v>1.9246992729220352E-2</v>
      </c>
      <c r="K11" s="1">
        <v>1.9246992729220341E-2</v>
      </c>
      <c r="L11" s="1">
        <v>1.9246992729220341E-2</v>
      </c>
      <c r="M11" s="1">
        <v>1.9246992729220341E-2</v>
      </c>
      <c r="N11" s="1">
        <v>1.9246992729220341E-2</v>
      </c>
      <c r="O11" s="1">
        <v>2.327973536466996E-2</v>
      </c>
      <c r="P11" s="1"/>
      <c r="Q11" s="2">
        <v>33</v>
      </c>
      <c r="R11" s="1" t="s">
        <v>17</v>
      </c>
      <c r="S11" s="1" t="s">
        <v>23</v>
      </c>
      <c r="T11" s="1">
        <v>8.7234580055224348E-3</v>
      </c>
      <c r="U11" s="1"/>
      <c r="V11" s="2" t="s">
        <v>38</v>
      </c>
      <c r="W11" s="19">
        <v>1.09135178280277E-2</v>
      </c>
      <c r="X11" s="16">
        <v>5.1423228530617197E-3</v>
      </c>
      <c r="Y11" s="18">
        <v>9.7972448119546335E-2</v>
      </c>
      <c r="Z11" s="17">
        <v>8.1408810610478971E-2</v>
      </c>
      <c r="AA11" s="1">
        <f t="shared" si="0"/>
        <v>0.19543709941111473</v>
      </c>
      <c r="AC11" s="22">
        <v>876</v>
      </c>
      <c r="AD11" s="1" t="s">
        <v>17</v>
      </c>
      <c r="AE11" s="1">
        <v>2014</v>
      </c>
      <c r="AF11" s="1" t="s">
        <v>22</v>
      </c>
      <c r="AG11" s="1">
        <v>156401.29999999999</v>
      </c>
      <c r="AH11" s="1">
        <v>4088215.6</v>
      </c>
      <c r="AI11" s="1">
        <v>3.8256617385834503E-2</v>
      </c>
      <c r="AJ11" s="1"/>
      <c r="AK11" s="22">
        <v>2072</v>
      </c>
      <c r="AL11" s="1" t="s">
        <v>61</v>
      </c>
      <c r="AM11" s="1">
        <v>2014</v>
      </c>
      <c r="AN11" s="1" t="s">
        <v>22</v>
      </c>
      <c r="AO11" s="1">
        <v>506983.2</v>
      </c>
      <c r="AP11" s="1">
        <v>40350049.200000003</v>
      </c>
      <c r="AQ11" s="1">
        <v>1.25646240847706E-2</v>
      </c>
      <c r="AR11" s="1"/>
      <c r="AS11" s="22">
        <v>3268</v>
      </c>
      <c r="AT11" s="1" t="s">
        <v>44</v>
      </c>
      <c r="AU11" s="1">
        <v>2014</v>
      </c>
      <c r="AV11" s="1" t="s">
        <v>22</v>
      </c>
      <c r="AW11" s="1">
        <v>47623.9</v>
      </c>
      <c r="AX11" s="1">
        <v>6735816.8000000007</v>
      </c>
      <c r="AY11" s="1">
        <v>7.0702487039135996E-3</v>
      </c>
      <c r="AZ11" s="1"/>
      <c r="BA11" s="22">
        <v>4464</v>
      </c>
      <c r="BB11" s="1" t="s">
        <v>38</v>
      </c>
      <c r="BC11" s="1">
        <v>2014</v>
      </c>
      <c r="BD11" s="1" t="s">
        <v>22</v>
      </c>
      <c r="BE11" s="1">
        <v>562.70000000000005</v>
      </c>
      <c r="BF11" s="1">
        <v>6538596.7000000002</v>
      </c>
      <c r="BG11" s="1">
        <v>8.6058221024703973E-5</v>
      </c>
      <c r="BH11" s="1"/>
      <c r="BI11" s="22">
        <v>5660</v>
      </c>
      <c r="BJ11" s="1" t="s">
        <v>31</v>
      </c>
      <c r="BK11" s="1">
        <v>2014</v>
      </c>
      <c r="BL11" s="1" t="s">
        <v>22</v>
      </c>
      <c r="BM11" s="1">
        <v>6419.4</v>
      </c>
      <c r="BN11" s="1">
        <v>9155477.5</v>
      </c>
      <c r="BO11" s="1">
        <v>7.0115403593090002E-4</v>
      </c>
      <c r="BP11" s="1"/>
      <c r="BQ11" s="22">
        <v>6856</v>
      </c>
      <c r="BR11" s="1" t="s">
        <v>51</v>
      </c>
      <c r="BS11" s="1">
        <v>2014</v>
      </c>
      <c r="BT11" s="1" t="s">
        <v>22</v>
      </c>
      <c r="BU11" s="1">
        <v>12367.6</v>
      </c>
      <c r="BV11" s="1">
        <v>4981875.5</v>
      </c>
      <c r="BW11" s="1">
        <v>2.4825188826977998E-3</v>
      </c>
      <c r="BX11" s="1"/>
      <c r="BY11" s="22">
        <v>8052</v>
      </c>
      <c r="BZ11" s="1" t="s">
        <v>57</v>
      </c>
      <c r="CA11" s="1">
        <v>2014</v>
      </c>
      <c r="CB11" s="1" t="s">
        <v>22</v>
      </c>
      <c r="CC11" s="1">
        <v>1315.6</v>
      </c>
      <c r="CD11" s="1">
        <v>11026913.800000001</v>
      </c>
      <c r="CE11" s="1">
        <v>1.193080878169E-4</v>
      </c>
      <c r="CF11" s="1"/>
      <c r="CG11" s="22">
        <v>922</v>
      </c>
      <c r="CH11" s="1" t="s">
        <v>17</v>
      </c>
      <c r="CI11" s="1">
        <v>2015</v>
      </c>
      <c r="CJ11" s="1" t="s">
        <v>22</v>
      </c>
      <c r="CK11" s="1">
        <v>82237.3</v>
      </c>
      <c r="CL11" s="1">
        <v>3555133.8</v>
      </c>
      <c r="CM11" s="1">
        <v>2.3131984512087801E-2</v>
      </c>
      <c r="CN11" s="1"/>
      <c r="CO11" s="22">
        <v>2118</v>
      </c>
      <c r="CP11" s="1" t="s">
        <v>61</v>
      </c>
      <c r="CQ11" s="1">
        <v>2015</v>
      </c>
      <c r="CR11" s="1" t="s">
        <v>22</v>
      </c>
      <c r="CS11" s="1">
        <v>299385</v>
      </c>
      <c r="CT11" s="1">
        <v>41208556.399999999</v>
      </c>
      <c r="CU11" s="1">
        <v>7.2651173968326004E-3</v>
      </c>
      <c r="CV11" s="1"/>
      <c r="CW11" s="22">
        <v>3314</v>
      </c>
      <c r="CX11" s="1" t="s">
        <v>44</v>
      </c>
      <c r="CY11" s="1">
        <v>2015</v>
      </c>
      <c r="CZ11" s="1" t="s">
        <v>22</v>
      </c>
      <c r="DA11" s="1">
        <v>32830.199999999997</v>
      </c>
      <c r="DB11" s="1">
        <v>6404349.4000000004</v>
      </c>
      <c r="DC11" s="1">
        <v>5.1262349927379E-3</v>
      </c>
      <c r="DD11" s="1"/>
      <c r="DE11" s="22">
        <v>4510</v>
      </c>
      <c r="DF11" s="1" t="s">
        <v>38</v>
      </c>
      <c r="DG11" s="1">
        <v>2015</v>
      </c>
      <c r="DH11" s="1" t="s">
        <v>22</v>
      </c>
      <c r="DI11" s="1">
        <v>359</v>
      </c>
      <c r="DJ11" s="1">
        <v>5531517.5999999996</v>
      </c>
      <c r="DK11" s="1">
        <v>6.4900814922834202E-5</v>
      </c>
      <c r="DL11" s="1"/>
      <c r="DM11" s="22">
        <v>5706</v>
      </c>
      <c r="DN11" s="1" t="s">
        <v>31</v>
      </c>
      <c r="DO11" s="1">
        <v>2015</v>
      </c>
      <c r="DP11" s="1" t="s">
        <v>22</v>
      </c>
      <c r="DQ11" s="1">
        <v>5524.5</v>
      </c>
      <c r="DR11" s="1">
        <v>7894528</v>
      </c>
      <c r="DS11" s="1">
        <v>6.9978851173870004E-4</v>
      </c>
      <c r="DT11" s="1"/>
      <c r="DU11" s="22">
        <v>6902</v>
      </c>
      <c r="DV11" s="1" t="s">
        <v>51</v>
      </c>
      <c r="DW11" s="1">
        <v>2015</v>
      </c>
      <c r="DX11" s="1" t="s">
        <v>22</v>
      </c>
      <c r="DY11" s="1">
        <v>8904.2000000000007</v>
      </c>
      <c r="DZ11" s="1">
        <v>4209274.5999999996</v>
      </c>
      <c r="EA11" s="1">
        <v>2.1153763643740001E-3</v>
      </c>
      <c r="EB11" s="1"/>
      <c r="EC11" s="22">
        <v>8098</v>
      </c>
      <c r="ED11" s="1" t="s">
        <v>57</v>
      </c>
      <c r="EE11" s="1">
        <v>2015</v>
      </c>
      <c r="EF11" s="1" t="s">
        <v>22</v>
      </c>
      <c r="EG11" s="1">
        <v>1094.3</v>
      </c>
      <c r="EH11" s="1">
        <v>9729477.0999999996</v>
      </c>
      <c r="EI11" s="1">
        <v>1.124726425431E-4</v>
      </c>
      <c r="EJ11" s="1"/>
      <c r="EK11" s="22">
        <v>968</v>
      </c>
      <c r="EL11" s="1" t="s">
        <v>17</v>
      </c>
      <c r="EM11" s="1">
        <v>2016</v>
      </c>
      <c r="EN11" s="1" t="s">
        <v>22</v>
      </c>
      <c r="EO11" s="1">
        <v>69764.5</v>
      </c>
      <c r="EP11" s="1">
        <v>3463407</v>
      </c>
      <c r="EQ11" s="1">
        <v>2.0143315527167301E-2</v>
      </c>
      <c r="ER11" s="1"/>
      <c r="ES11" s="22">
        <v>2164</v>
      </c>
      <c r="ET11" s="1" t="s">
        <v>61</v>
      </c>
      <c r="EU11" s="1">
        <v>2016</v>
      </c>
      <c r="EV11" s="1" t="s">
        <v>22</v>
      </c>
      <c r="EW11" s="1">
        <v>254581</v>
      </c>
      <c r="EX11" s="1">
        <v>42141395.200000003</v>
      </c>
      <c r="EY11" s="1">
        <v>6.0411146520369004E-3</v>
      </c>
      <c r="EZ11" s="1"/>
      <c r="FA11" s="22">
        <v>3360</v>
      </c>
      <c r="FB11" s="1" t="s">
        <v>44</v>
      </c>
      <c r="FC11" s="1">
        <v>2016</v>
      </c>
      <c r="FD11" s="1" t="s">
        <v>22</v>
      </c>
      <c r="FE11" s="1">
        <v>26676.7</v>
      </c>
      <c r="FF11" s="1">
        <v>5868597.7999999998</v>
      </c>
      <c r="FG11" s="1">
        <v>4.5456684729697997E-3</v>
      </c>
      <c r="FH11" s="1"/>
      <c r="FI11" s="22">
        <v>4556</v>
      </c>
      <c r="FJ11" s="1" t="s">
        <v>38</v>
      </c>
      <c r="FK11" s="1">
        <v>2016</v>
      </c>
      <c r="FL11" s="1" t="s">
        <v>22</v>
      </c>
      <c r="FM11" s="1">
        <v>286.60000000000002</v>
      </c>
      <c r="FN11" s="1">
        <v>5582986.5</v>
      </c>
      <c r="FO11" s="1">
        <v>5.1334532154072022E-5</v>
      </c>
      <c r="FP11" s="1"/>
      <c r="FQ11" s="22">
        <v>5752</v>
      </c>
      <c r="FR11" s="1" t="s">
        <v>31</v>
      </c>
      <c r="FS11" s="1">
        <v>2016</v>
      </c>
      <c r="FT11" s="1" t="s">
        <v>22</v>
      </c>
      <c r="FU11" s="1">
        <v>4629.8</v>
      </c>
      <c r="FV11" s="1">
        <v>8130820.9000000004</v>
      </c>
      <c r="FW11" s="1">
        <v>5.6941360004619996E-4</v>
      </c>
      <c r="FX11" s="1"/>
      <c r="FY11" s="22">
        <v>6948</v>
      </c>
      <c r="FZ11" s="1" t="s">
        <v>51</v>
      </c>
      <c r="GA11" s="1">
        <v>2016</v>
      </c>
      <c r="GB11" s="1" t="s">
        <v>22</v>
      </c>
      <c r="GC11" s="1">
        <v>7802.9</v>
      </c>
      <c r="GD11" s="1">
        <v>4230502.5999999996</v>
      </c>
      <c r="GE11" s="1">
        <v>1.8444380580217E-3</v>
      </c>
      <c r="GF11" s="1"/>
      <c r="GG11" s="22">
        <v>8144</v>
      </c>
      <c r="GH11" s="1" t="s">
        <v>57</v>
      </c>
      <c r="GI11" s="1">
        <v>2016</v>
      </c>
      <c r="GJ11" s="1" t="s">
        <v>22</v>
      </c>
      <c r="GK11" s="1">
        <v>1020.7</v>
      </c>
      <c r="GL11" s="1">
        <v>10773649.5</v>
      </c>
      <c r="GM11" s="1">
        <v>9.474041270787584E-5</v>
      </c>
      <c r="GN11" s="1"/>
      <c r="GO11" s="22">
        <v>1014</v>
      </c>
      <c r="GP11" s="1" t="s">
        <v>17</v>
      </c>
      <c r="GQ11" s="1">
        <v>2017</v>
      </c>
      <c r="GR11" s="1" t="s">
        <v>22</v>
      </c>
      <c r="GS11" s="1">
        <v>92652.800000000003</v>
      </c>
      <c r="GT11" s="1">
        <v>3719735.5</v>
      </c>
      <c r="GU11" s="1">
        <v>2.4908437710154299E-2</v>
      </c>
      <c r="GV11" s="1"/>
      <c r="GW11" s="22">
        <v>2210</v>
      </c>
      <c r="GX11" s="1" t="s">
        <v>61</v>
      </c>
      <c r="GY11" s="1">
        <v>2017</v>
      </c>
      <c r="GZ11" s="1" t="s">
        <v>22</v>
      </c>
      <c r="HA11" s="1">
        <v>330668.59999999998</v>
      </c>
      <c r="HB11" s="1">
        <v>44107004.100000001</v>
      </c>
      <c r="HC11" s="1">
        <v>7.4969635038077001E-3</v>
      </c>
      <c r="HD11" s="1"/>
      <c r="HE11" s="22">
        <v>3406</v>
      </c>
      <c r="HF11" s="1" t="s">
        <v>44</v>
      </c>
      <c r="HG11" s="1">
        <v>2017</v>
      </c>
      <c r="HH11" s="1" t="s">
        <v>22</v>
      </c>
      <c r="HI11" s="1">
        <v>31238</v>
      </c>
      <c r="HJ11" s="1">
        <v>5855367.5</v>
      </c>
      <c r="HK11" s="1">
        <v>5.3349341437578003E-3</v>
      </c>
      <c r="HL11" s="1"/>
      <c r="HM11" s="22">
        <v>4602</v>
      </c>
      <c r="HN11" s="1" t="s">
        <v>38</v>
      </c>
      <c r="HO11" s="1">
        <v>2017</v>
      </c>
      <c r="HP11" s="1" t="s">
        <v>22</v>
      </c>
      <c r="HQ11" s="1">
        <v>277.7</v>
      </c>
      <c r="HR11" s="1">
        <v>5923445.7000000002</v>
      </c>
      <c r="HS11" s="1">
        <v>4.6881496693723383E-5</v>
      </c>
      <c r="HT11" s="1"/>
      <c r="HU11" s="22">
        <v>5798</v>
      </c>
      <c r="HV11" s="1" t="s">
        <v>31</v>
      </c>
      <c r="HW11" s="1">
        <v>2017</v>
      </c>
      <c r="HX11" s="1" t="s">
        <v>22</v>
      </c>
      <c r="HY11" s="1">
        <v>4689.8999999999996</v>
      </c>
      <c r="HZ11" s="1">
        <v>8686095.3000000007</v>
      </c>
      <c r="IA11" s="1">
        <v>5.3993190703300004E-4</v>
      </c>
      <c r="IB11" s="1"/>
      <c r="IC11" s="22">
        <v>6994</v>
      </c>
      <c r="ID11" s="1" t="s">
        <v>51</v>
      </c>
      <c r="IE11" s="1">
        <v>2017</v>
      </c>
      <c r="IF11" s="1" t="s">
        <v>22</v>
      </c>
      <c r="IG11" s="1">
        <v>4817.3</v>
      </c>
      <c r="IH11" s="1">
        <v>4472691.8</v>
      </c>
      <c r="II11" s="1">
        <v>1.0770471598333001E-3</v>
      </c>
      <c r="IJ11" s="1"/>
      <c r="IK11" s="22">
        <v>8190</v>
      </c>
      <c r="IL11" s="1" t="s">
        <v>57</v>
      </c>
      <c r="IM11" s="1">
        <v>2017</v>
      </c>
      <c r="IN11" s="1" t="s">
        <v>22</v>
      </c>
      <c r="IO11" s="1">
        <v>1087.4000000000001</v>
      </c>
      <c r="IP11" s="1">
        <v>10750260.5</v>
      </c>
      <c r="IQ11" s="1">
        <v>1.011510372237E-4</v>
      </c>
      <c r="IR11" s="1"/>
      <c r="IS11" s="22">
        <v>1060</v>
      </c>
      <c r="IT11" s="1" t="s">
        <v>17</v>
      </c>
      <c r="IU11" s="1">
        <v>2018</v>
      </c>
      <c r="IV11" s="1" t="s">
        <v>22</v>
      </c>
      <c r="IW11" s="1">
        <v>105040.6</v>
      </c>
      <c r="IX11" s="1">
        <v>3904165.4</v>
      </c>
      <c r="IY11" s="1">
        <v>2.6904751525127401E-2</v>
      </c>
      <c r="IZ11" s="1"/>
      <c r="JA11" s="22">
        <v>2256</v>
      </c>
      <c r="JB11" s="1" t="s">
        <v>61</v>
      </c>
      <c r="JC11" s="1">
        <v>2018</v>
      </c>
      <c r="JD11" s="1" t="s">
        <v>22</v>
      </c>
      <c r="JE11" s="1">
        <v>432374</v>
      </c>
      <c r="JF11" s="1">
        <v>46669099.200000003</v>
      </c>
      <c r="JG11" s="1">
        <v>9.2646742150960006E-3</v>
      </c>
      <c r="JH11" s="1"/>
      <c r="JI11" s="22">
        <v>3452</v>
      </c>
      <c r="JJ11" s="1" t="s">
        <v>44</v>
      </c>
      <c r="JK11" s="1">
        <v>2018</v>
      </c>
      <c r="JL11" s="1" t="s">
        <v>22</v>
      </c>
      <c r="JM11" s="1">
        <v>41400</v>
      </c>
      <c r="JN11" s="1">
        <v>6336724.7000000002</v>
      </c>
      <c r="JO11" s="1">
        <v>6.5333436372893997E-3</v>
      </c>
      <c r="JP11" s="1"/>
      <c r="JQ11" s="22">
        <v>4648</v>
      </c>
      <c r="JR11" s="1" t="s">
        <v>38</v>
      </c>
      <c r="JS11" s="1">
        <v>2018</v>
      </c>
      <c r="JT11" s="1" t="s">
        <v>22</v>
      </c>
      <c r="JU11" s="1">
        <v>377.7</v>
      </c>
      <c r="JV11" s="1">
        <v>6390706</v>
      </c>
      <c r="JW11" s="1">
        <v>5.910145138893887E-5</v>
      </c>
      <c r="JX11" s="1"/>
      <c r="JY11" s="22">
        <v>5844</v>
      </c>
      <c r="JZ11" s="1" t="s">
        <v>31</v>
      </c>
      <c r="KA11" s="1">
        <v>2018</v>
      </c>
      <c r="KB11" s="1" t="s">
        <v>22</v>
      </c>
      <c r="KC11" s="1">
        <v>7113.9</v>
      </c>
      <c r="KD11" s="1">
        <v>9443218.3000000007</v>
      </c>
      <c r="KE11" s="1">
        <v>7.5333427376130001E-4</v>
      </c>
      <c r="KF11" s="1"/>
      <c r="KG11" s="22">
        <v>7040</v>
      </c>
      <c r="KH11" s="1" t="s">
        <v>51</v>
      </c>
      <c r="KI11" s="1">
        <v>2018</v>
      </c>
      <c r="KJ11" s="1" t="s">
        <v>22</v>
      </c>
      <c r="KK11" s="1">
        <v>6868.5</v>
      </c>
      <c r="KL11" s="1">
        <v>4803387.8</v>
      </c>
      <c r="KM11" s="1">
        <v>1.4299282685440999E-3</v>
      </c>
      <c r="KN11" s="1"/>
      <c r="KO11" s="22">
        <v>8236</v>
      </c>
      <c r="KP11" s="1" t="s">
        <v>57</v>
      </c>
      <c r="KQ11" s="1">
        <v>2018</v>
      </c>
      <c r="KR11" s="1" t="s">
        <v>22</v>
      </c>
      <c r="KS11" s="1">
        <v>1118.5999999999999</v>
      </c>
      <c r="KT11" s="1">
        <v>11172914.4</v>
      </c>
      <c r="KU11" s="1">
        <v>1.001171189497E-4</v>
      </c>
      <c r="KV11" s="1"/>
      <c r="KW11" s="22">
        <v>1106</v>
      </c>
      <c r="KX11" s="1" t="s">
        <v>17</v>
      </c>
      <c r="KY11" s="1">
        <v>2019</v>
      </c>
      <c r="KZ11" s="1" t="s">
        <v>22</v>
      </c>
      <c r="LA11" s="1">
        <v>104804.4</v>
      </c>
      <c r="LB11" s="1">
        <v>3955328</v>
      </c>
      <c r="LC11" s="1">
        <v>2.6497018704896201E-2</v>
      </c>
      <c r="LD11" s="1"/>
      <c r="LE11" s="22">
        <v>2302</v>
      </c>
      <c r="LF11" s="1" t="s">
        <v>61</v>
      </c>
      <c r="LG11" s="1">
        <v>2019</v>
      </c>
      <c r="LH11" s="1" t="s">
        <v>22</v>
      </c>
      <c r="LI11" s="1">
        <v>397487.9</v>
      </c>
      <c r="LJ11" s="1">
        <v>48356774.5</v>
      </c>
      <c r="LK11" s="1">
        <v>8.2199010192460006E-3</v>
      </c>
      <c r="LL11" s="1"/>
      <c r="LM11" s="22">
        <v>3498</v>
      </c>
      <c r="LN11" s="1" t="s">
        <v>44</v>
      </c>
      <c r="LO11" s="1">
        <v>2019</v>
      </c>
      <c r="LP11" s="1" t="s">
        <v>22</v>
      </c>
      <c r="LQ11" s="1">
        <v>38385.699999999997</v>
      </c>
      <c r="LR11" s="1">
        <v>6269787.0999999996</v>
      </c>
      <c r="LS11" s="1">
        <v>6.1223290979050002E-3</v>
      </c>
      <c r="LT11" s="1"/>
      <c r="LU11" s="22">
        <v>4694</v>
      </c>
      <c r="LV11" s="1" t="s">
        <v>38</v>
      </c>
      <c r="LW11" s="1">
        <v>2019</v>
      </c>
      <c r="LX11" s="1" t="s">
        <v>22</v>
      </c>
      <c r="LY11" s="1">
        <v>316.5</v>
      </c>
      <c r="LZ11" s="1">
        <v>6182094.5</v>
      </c>
      <c r="MA11" s="1">
        <v>5.1196241015079919E-5</v>
      </c>
      <c r="MB11" s="1"/>
      <c r="MC11" s="22">
        <v>5890</v>
      </c>
      <c r="MD11" s="1" t="s">
        <v>31</v>
      </c>
      <c r="ME11" s="1">
        <v>2019</v>
      </c>
      <c r="MF11" s="1" t="s">
        <v>22</v>
      </c>
      <c r="MG11" s="1">
        <v>7907.2</v>
      </c>
      <c r="MH11" s="1">
        <v>9237079</v>
      </c>
      <c r="MI11" s="1">
        <v>8.5602818813169999E-4</v>
      </c>
      <c r="MJ11" s="1"/>
      <c r="MK11" s="22">
        <v>7086</v>
      </c>
      <c r="ML11" s="1" t="s">
        <v>51</v>
      </c>
      <c r="MM11" s="1">
        <v>2019</v>
      </c>
      <c r="MN11" s="1" t="s">
        <v>22</v>
      </c>
      <c r="MO11" s="1">
        <v>5587</v>
      </c>
      <c r="MP11" s="1">
        <v>4608662</v>
      </c>
      <c r="MQ11" s="1">
        <v>1.2122824368547001E-3</v>
      </c>
      <c r="MR11" s="1"/>
      <c r="MS11" s="22">
        <v>8282</v>
      </c>
      <c r="MT11" s="1" t="s">
        <v>57</v>
      </c>
      <c r="MU11" s="1">
        <v>2019</v>
      </c>
      <c r="MV11" s="1" t="s">
        <v>22</v>
      </c>
      <c r="MW11" s="1">
        <v>1108.2</v>
      </c>
      <c r="MX11" s="1">
        <v>11338077</v>
      </c>
      <c r="MY11" s="1">
        <v>9.774144239803628E-5</v>
      </c>
      <c r="MZ11" s="1"/>
      <c r="NA11" s="22">
        <v>1152</v>
      </c>
      <c r="NB11" s="1" t="s">
        <v>17</v>
      </c>
      <c r="NC11" s="1">
        <v>2020</v>
      </c>
      <c r="ND11" s="1" t="s">
        <v>22</v>
      </c>
      <c r="NE11" s="1">
        <v>72845.100000000006</v>
      </c>
      <c r="NF11" s="1">
        <v>3784752.3</v>
      </c>
      <c r="NG11" s="1">
        <v>1.92469927292203E-2</v>
      </c>
      <c r="NH11" s="1"/>
      <c r="NI11" s="22">
        <v>2348</v>
      </c>
      <c r="NJ11" s="1" t="s">
        <v>61</v>
      </c>
      <c r="NK11" s="1">
        <v>2020</v>
      </c>
      <c r="NL11" s="1" t="s">
        <v>22</v>
      </c>
      <c r="NM11" s="1">
        <v>270340.40000000002</v>
      </c>
      <c r="NN11" s="1">
        <v>47421769.399999999</v>
      </c>
      <c r="NO11" s="1">
        <v>5.7007657753065004E-3</v>
      </c>
      <c r="NP11" s="1"/>
      <c r="NQ11" s="22">
        <v>3544</v>
      </c>
      <c r="NR11" s="1" t="s">
        <v>44</v>
      </c>
      <c r="NS11" s="1">
        <v>2020</v>
      </c>
      <c r="NT11" s="1" t="s">
        <v>22</v>
      </c>
      <c r="NU11" s="1">
        <v>27278.1</v>
      </c>
      <c r="NV11" s="1">
        <v>5955345.3666666672</v>
      </c>
      <c r="NW11" s="1">
        <v>4.5804396421206999E-3</v>
      </c>
      <c r="NX11" s="1"/>
      <c r="NY11" s="22">
        <v>4740</v>
      </c>
      <c r="NZ11" s="1" t="s">
        <v>38</v>
      </c>
      <c r="OA11" s="1">
        <v>2020</v>
      </c>
      <c r="OB11" s="1" t="s">
        <v>22</v>
      </c>
      <c r="OC11" s="1">
        <v>287</v>
      </c>
      <c r="OD11" s="1">
        <v>5990228.4000000004</v>
      </c>
      <c r="OE11" s="1">
        <v>4.7911361777123547E-5</v>
      </c>
      <c r="OF11" s="1"/>
      <c r="OG11" s="22">
        <v>5936</v>
      </c>
      <c r="OH11" s="1" t="s">
        <v>31</v>
      </c>
      <c r="OI11" s="1">
        <v>2020</v>
      </c>
      <c r="OJ11" s="1" t="s">
        <v>22</v>
      </c>
      <c r="OK11" s="1">
        <v>7557.4</v>
      </c>
      <c r="OL11" s="1">
        <v>9257180.0999999996</v>
      </c>
      <c r="OM11" s="1">
        <v>8.1638251804130001E-4</v>
      </c>
      <c r="ON11" s="1"/>
      <c r="OO11" s="22">
        <v>7132</v>
      </c>
      <c r="OP11" s="1" t="s">
        <v>51</v>
      </c>
      <c r="OQ11" s="1">
        <v>2020</v>
      </c>
      <c r="OR11" s="1" t="s">
        <v>22</v>
      </c>
      <c r="OS11" s="1">
        <v>4870.3</v>
      </c>
      <c r="OT11" s="1">
        <v>4352046.4000000004</v>
      </c>
      <c r="OU11" s="1">
        <v>1.1190827377208E-3</v>
      </c>
      <c r="OV11" s="1"/>
      <c r="OW11" s="22">
        <v>8328</v>
      </c>
      <c r="OX11" s="1" t="s">
        <v>57</v>
      </c>
      <c r="OY11" s="1">
        <v>2020</v>
      </c>
      <c r="OZ11" s="1" t="s">
        <v>22</v>
      </c>
      <c r="PA11" s="1">
        <v>1018.8</v>
      </c>
      <c r="PB11" s="1">
        <v>11082248.733333331</v>
      </c>
      <c r="PC11" s="1">
        <v>9.1930800735020481E-5</v>
      </c>
      <c r="PD11" s="1"/>
      <c r="PE11" s="22">
        <v>8374</v>
      </c>
      <c r="PF11" s="1" t="s">
        <v>17</v>
      </c>
      <c r="PG11" s="1">
        <v>2021</v>
      </c>
      <c r="PH11" s="1" t="s">
        <v>22</v>
      </c>
      <c r="PI11" s="1">
        <v>88978.832466418404</v>
      </c>
      <c r="PJ11" s="1">
        <v>4622999.2247741111</v>
      </c>
      <c r="PK11" s="1">
        <v>1.92469927292203E-2</v>
      </c>
      <c r="PL11" s="1"/>
      <c r="PM11" s="22">
        <v>9294</v>
      </c>
      <c r="PN11" s="1" t="s">
        <v>61</v>
      </c>
      <c r="PO11" s="1">
        <v>2021</v>
      </c>
      <c r="PP11" s="1" t="s">
        <v>22</v>
      </c>
      <c r="PQ11" s="1">
        <v>299801.2129043102</v>
      </c>
      <c r="PR11" s="1">
        <v>52589638.782026872</v>
      </c>
      <c r="PS11" s="1">
        <v>5.7007657753065004E-3</v>
      </c>
      <c r="PT11" s="1"/>
      <c r="PU11" s="22">
        <v>10214</v>
      </c>
      <c r="PV11" s="1" t="s">
        <v>44</v>
      </c>
      <c r="PW11" s="1">
        <v>2021</v>
      </c>
      <c r="PX11" s="1" t="s">
        <v>22</v>
      </c>
      <c r="PY11" s="1">
        <v>31794.880298726439</v>
      </c>
      <c r="PZ11" s="1">
        <v>6941447.2808129201</v>
      </c>
      <c r="QA11" s="1">
        <v>4.5804396421206999E-3</v>
      </c>
      <c r="QB11" s="1"/>
      <c r="QC11" s="22">
        <v>11134</v>
      </c>
      <c r="QD11" s="1" t="s">
        <v>38</v>
      </c>
      <c r="QE11" s="1">
        <v>2021</v>
      </c>
      <c r="QF11" s="1" t="s">
        <v>22</v>
      </c>
      <c r="QG11" s="1">
        <v>321.52111649477138</v>
      </c>
      <c r="QH11" s="1">
        <v>6710748.8614170318</v>
      </c>
      <c r="QI11" s="1">
        <v>4.7911361777123547E-5</v>
      </c>
      <c r="QJ11" s="1"/>
      <c r="QK11" s="22">
        <v>12054</v>
      </c>
      <c r="QL11" s="1" t="s">
        <v>31</v>
      </c>
      <c r="QM11" s="1">
        <v>2021</v>
      </c>
      <c r="QN11" s="1" t="s">
        <v>22</v>
      </c>
      <c r="QO11" s="1">
        <v>8340.2727872611613</v>
      </c>
      <c r="QP11" s="1">
        <v>10216133.49495957</v>
      </c>
      <c r="QQ11" s="1">
        <v>8.1638251804130001E-4</v>
      </c>
      <c r="QR11" s="1"/>
      <c r="QS11" s="22">
        <v>12974</v>
      </c>
      <c r="QT11" s="1" t="s">
        <v>51</v>
      </c>
      <c r="QU11" s="1">
        <v>2021</v>
      </c>
      <c r="QV11" s="1" t="s">
        <v>22</v>
      </c>
      <c r="QW11" s="1">
        <v>5564.0984246230082</v>
      </c>
      <c r="QX11" s="1">
        <v>4972017.0252605537</v>
      </c>
      <c r="QY11" s="1">
        <v>1.1190827377208E-3</v>
      </c>
      <c r="QZ11" s="1"/>
      <c r="RA11" s="22">
        <v>13894</v>
      </c>
      <c r="RB11" s="1" t="s">
        <v>57</v>
      </c>
      <c r="RC11" s="1">
        <v>2021</v>
      </c>
      <c r="RD11" s="1" t="s">
        <v>22</v>
      </c>
      <c r="RE11" s="1">
        <v>1015.792424719088</v>
      </c>
      <c r="RF11" s="1">
        <v>11049533.09007922</v>
      </c>
      <c r="RG11" s="1">
        <v>9.1930800735020481E-5</v>
      </c>
      <c r="RH11" s="1"/>
      <c r="RI11" s="22">
        <v>8420</v>
      </c>
      <c r="RJ11" s="1" t="s">
        <v>17</v>
      </c>
      <c r="RK11" s="1">
        <v>2022</v>
      </c>
      <c r="RL11" s="1" t="s">
        <v>22</v>
      </c>
      <c r="RM11" s="1">
        <v>96371.663299067193</v>
      </c>
      <c r="RN11" s="1">
        <v>5007102.3902221443</v>
      </c>
      <c r="RO11" s="1">
        <v>1.92469927292203E-2</v>
      </c>
      <c r="RP11" s="1"/>
      <c r="RQ11" s="22">
        <v>9340</v>
      </c>
      <c r="RR11" s="1" t="s">
        <v>61</v>
      </c>
      <c r="RS11" s="1">
        <v>2022</v>
      </c>
      <c r="RT11" s="1" t="s">
        <v>22</v>
      </c>
      <c r="RU11" s="1">
        <v>329244.30197291973</v>
      </c>
      <c r="RV11" s="1">
        <v>57754399.13688051</v>
      </c>
      <c r="RW11" s="1">
        <v>5.7007657753065004E-3</v>
      </c>
      <c r="RX11" s="1"/>
      <c r="RY11" s="22">
        <v>10260</v>
      </c>
      <c r="RZ11" s="1" t="s">
        <v>44</v>
      </c>
      <c r="SA11" s="1">
        <v>2022</v>
      </c>
      <c r="SB11" s="1" t="s">
        <v>22</v>
      </c>
      <c r="SC11" s="1">
        <v>31498.711249712429</v>
      </c>
      <c r="SD11" s="1">
        <v>6876787.7563667288</v>
      </c>
      <c r="SE11" s="1">
        <v>4.5804396421206999E-3</v>
      </c>
      <c r="SF11" s="1"/>
      <c r="SG11" s="22">
        <v>11180</v>
      </c>
      <c r="SH11" s="1" t="s">
        <v>38</v>
      </c>
      <c r="SI11" s="1">
        <v>2022</v>
      </c>
      <c r="SJ11" s="1" t="s">
        <v>22</v>
      </c>
      <c r="SK11" s="1">
        <v>303.08131257246231</v>
      </c>
      <c r="SL11" s="1">
        <v>6325875.5612572851</v>
      </c>
      <c r="SM11" s="1">
        <v>4.7911361777123547E-5</v>
      </c>
      <c r="SN11" s="1"/>
      <c r="SO11" s="22">
        <v>12100</v>
      </c>
      <c r="SP11" s="1" t="s">
        <v>31</v>
      </c>
      <c r="SQ11" s="1">
        <v>2022</v>
      </c>
      <c r="SR11" s="1" t="s">
        <v>22</v>
      </c>
      <c r="SS11" s="1">
        <v>7986.0082738174851</v>
      </c>
      <c r="ST11" s="1">
        <v>9782189.227885304</v>
      </c>
      <c r="SU11" s="1">
        <v>8.1638251804130001E-4</v>
      </c>
      <c r="SV11" s="1"/>
      <c r="SW11" s="22">
        <v>13020</v>
      </c>
      <c r="SX11" s="1" t="s">
        <v>51</v>
      </c>
      <c r="SY11" s="1">
        <v>2022</v>
      </c>
      <c r="SZ11" s="1" t="s">
        <v>22</v>
      </c>
      <c r="TA11" s="1">
        <v>5372.2461682428639</v>
      </c>
      <c r="TB11" s="1">
        <v>4800579.963537232</v>
      </c>
      <c r="TC11" s="1">
        <v>1.1190827377208E-3</v>
      </c>
      <c r="TD11" s="1"/>
      <c r="TE11" s="22">
        <v>13940</v>
      </c>
      <c r="TF11" s="1" t="s">
        <v>57</v>
      </c>
      <c r="TG11" s="1">
        <v>2022</v>
      </c>
      <c r="TH11" s="1" t="s">
        <v>22</v>
      </c>
      <c r="TI11" s="1">
        <v>859.22716701589013</v>
      </c>
      <c r="TJ11" s="1">
        <v>9346455.8140041605</v>
      </c>
      <c r="TK11" s="1">
        <v>9.1930800735020481E-5</v>
      </c>
      <c r="TL11" s="1"/>
      <c r="TM11" s="22">
        <v>8466</v>
      </c>
      <c r="TN11" s="1" t="s">
        <v>17</v>
      </c>
      <c r="TO11" s="1">
        <v>2023</v>
      </c>
      <c r="TP11" s="1" t="s">
        <v>22</v>
      </c>
      <c r="TQ11" s="1">
        <v>95620.632993090199</v>
      </c>
      <c r="TR11" s="1">
        <v>4968081.7329930915</v>
      </c>
      <c r="TS11" s="1">
        <v>1.92469927292203E-2</v>
      </c>
      <c r="TT11" s="1"/>
      <c r="TU11" s="22">
        <v>9386</v>
      </c>
      <c r="TV11" s="1" t="s">
        <v>61</v>
      </c>
      <c r="TW11" s="1">
        <v>2023</v>
      </c>
      <c r="TX11" s="1" t="s">
        <v>22</v>
      </c>
      <c r="TY11" s="1">
        <v>350940.80885075562</v>
      </c>
      <c r="TZ11" s="1">
        <v>61560292.543660469</v>
      </c>
      <c r="UA11" s="1">
        <v>5.7007657753065004E-3</v>
      </c>
      <c r="UB11" s="1"/>
      <c r="UC11" s="22">
        <v>10306</v>
      </c>
      <c r="UD11" s="1" t="s">
        <v>44</v>
      </c>
      <c r="UE11" s="1">
        <v>2023</v>
      </c>
      <c r="UF11" s="1" t="s">
        <v>22</v>
      </c>
      <c r="UG11" s="1">
        <v>34086.346704588228</v>
      </c>
      <c r="UH11" s="1">
        <v>7441719.4347760417</v>
      </c>
      <c r="UI11" s="1">
        <v>4.5804396421206999E-3</v>
      </c>
      <c r="UJ11" s="1"/>
      <c r="UK11" s="22">
        <v>11226</v>
      </c>
      <c r="UL11" s="1" t="s">
        <v>38</v>
      </c>
      <c r="UM11" s="1">
        <v>2023</v>
      </c>
      <c r="UN11" s="1" t="s">
        <v>22</v>
      </c>
      <c r="UO11" s="1">
        <v>330.7773279505123</v>
      </c>
      <c r="UP11" s="1">
        <v>6903943.3587640161</v>
      </c>
      <c r="UQ11" s="1">
        <v>4.7911361777123547E-5</v>
      </c>
      <c r="UR11" s="1"/>
      <c r="US11" s="22">
        <v>12146</v>
      </c>
      <c r="UT11" s="1" t="s">
        <v>31</v>
      </c>
      <c r="UU11" s="1">
        <v>2023</v>
      </c>
      <c r="UV11" s="1" t="s">
        <v>22</v>
      </c>
      <c r="UW11" s="1">
        <v>8680.5355088903325</v>
      </c>
      <c r="UX11" s="1">
        <v>10632926.743356841</v>
      </c>
      <c r="UY11" s="1">
        <v>8.1638251804130001E-4</v>
      </c>
      <c r="UZ11" s="1"/>
      <c r="VA11" s="22">
        <v>13066</v>
      </c>
      <c r="VB11" s="1" t="s">
        <v>51</v>
      </c>
      <c r="VC11" s="1">
        <v>2023</v>
      </c>
      <c r="VD11" s="1" t="s">
        <v>22</v>
      </c>
      <c r="VE11" s="1">
        <v>5884.2777292552937</v>
      </c>
      <c r="VF11" s="1">
        <v>5258125.7228930313</v>
      </c>
      <c r="VG11" s="1">
        <v>1.1190827377208E-3</v>
      </c>
      <c r="VH11" s="1"/>
      <c r="VI11" s="22">
        <v>13986</v>
      </c>
      <c r="VJ11" s="1" t="s">
        <v>57</v>
      </c>
      <c r="VK11" s="1">
        <v>2023</v>
      </c>
      <c r="VL11" s="1" t="s">
        <v>22</v>
      </c>
      <c r="VM11" s="1">
        <v>849.2912832627959</v>
      </c>
      <c r="VN11" s="1">
        <v>9238375.7834414635</v>
      </c>
      <c r="VO11" s="1">
        <v>9.1930800735020481E-5</v>
      </c>
      <c r="VP11" s="1"/>
      <c r="VQ11" s="22">
        <v>8512</v>
      </c>
      <c r="VR11" s="1" t="s">
        <v>17</v>
      </c>
      <c r="VS11" s="1">
        <v>2024</v>
      </c>
      <c r="VT11" s="1" t="s">
        <v>22</v>
      </c>
      <c r="VU11" s="1">
        <v>98608.475294138698</v>
      </c>
      <c r="VV11" s="1">
        <v>5123318.5714479852</v>
      </c>
      <c r="VW11" s="1">
        <v>1.92469927292203E-2</v>
      </c>
      <c r="VX11" s="1"/>
      <c r="VY11" s="22">
        <v>9432</v>
      </c>
      <c r="VZ11" s="1" t="s">
        <v>61</v>
      </c>
      <c r="WA11" s="1">
        <v>2024</v>
      </c>
      <c r="WB11" s="1" t="s">
        <v>22</v>
      </c>
      <c r="WC11" s="1">
        <v>369477.40902027779</v>
      </c>
      <c r="WD11" s="1">
        <v>64811890.820126347</v>
      </c>
      <c r="WE11" s="1">
        <v>5.7007657753065004E-3</v>
      </c>
      <c r="WF11" s="1"/>
      <c r="WG11" s="22">
        <v>10352</v>
      </c>
      <c r="WH11" s="1" t="s">
        <v>44</v>
      </c>
      <c r="WI11" s="1">
        <v>2024</v>
      </c>
      <c r="WJ11" s="1" t="s">
        <v>22</v>
      </c>
      <c r="WK11" s="1">
        <v>36857.570555625367</v>
      </c>
      <c r="WL11" s="1">
        <v>8046732.0684004631</v>
      </c>
      <c r="WM11" s="1">
        <v>4.5804396421206999E-3</v>
      </c>
      <c r="WN11" s="1"/>
      <c r="WO11" s="22">
        <v>11272</v>
      </c>
      <c r="WP11" s="1" t="s">
        <v>38</v>
      </c>
      <c r="WQ11" s="1">
        <v>2024</v>
      </c>
      <c r="WR11" s="1" t="s">
        <v>22</v>
      </c>
      <c r="WS11" s="1">
        <v>342.72694519870242</v>
      </c>
      <c r="WT11" s="1">
        <v>7153354.2877160665</v>
      </c>
      <c r="WU11" s="1">
        <v>4.7911361777123547E-5</v>
      </c>
      <c r="WV11" s="1"/>
      <c r="WW11" s="22">
        <v>12192</v>
      </c>
      <c r="WX11" s="1" t="s">
        <v>31</v>
      </c>
      <c r="WY11" s="1">
        <v>2024</v>
      </c>
      <c r="WZ11" s="1" t="s">
        <v>22</v>
      </c>
      <c r="XA11" s="1">
        <v>8937.9958534466114</v>
      </c>
      <c r="XB11" s="1">
        <v>10948294.03609846</v>
      </c>
      <c r="XC11" s="1">
        <v>8.1638251804130001E-4</v>
      </c>
      <c r="XD11" s="1"/>
      <c r="XE11" s="22">
        <v>13112</v>
      </c>
      <c r="XF11" s="1" t="s">
        <v>51</v>
      </c>
      <c r="XG11" s="1">
        <v>2024</v>
      </c>
      <c r="XH11" s="1" t="s">
        <v>22</v>
      </c>
      <c r="XI11" s="1">
        <v>6058.3082029693023</v>
      </c>
      <c r="XJ11" s="1">
        <v>5413637.436055948</v>
      </c>
      <c r="XK11" s="1">
        <v>1.1190827377208E-3</v>
      </c>
      <c r="XL11" s="1"/>
      <c r="XM11" s="22">
        <v>14032</v>
      </c>
      <c r="XN11" s="1" t="s">
        <v>57</v>
      </c>
      <c r="XO11" s="1">
        <v>2024</v>
      </c>
      <c r="XP11" s="1" t="s">
        <v>22</v>
      </c>
      <c r="XQ11" s="1">
        <v>811.60386539956903</v>
      </c>
      <c r="XR11" s="1">
        <v>8828421.583522588</v>
      </c>
      <c r="XS11" s="1">
        <v>9.1930800735020481E-5</v>
      </c>
      <c r="XT11" s="1"/>
    </row>
    <row r="12" spans="1:644" x14ac:dyDescent="0.25">
      <c r="A12" s="2">
        <v>3</v>
      </c>
      <c r="B12" s="1" t="s">
        <v>17</v>
      </c>
      <c r="C12" s="1" t="s">
        <v>24</v>
      </c>
      <c r="D12" s="1">
        <v>8.0606316359636207E-3</v>
      </c>
      <c r="E12" s="1">
        <v>8.0705823223868531E-3</v>
      </c>
      <c r="F12" s="1">
        <v>7.335378140657451E-3</v>
      </c>
      <c r="G12" s="1">
        <v>7.9338436832403804E-3</v>
      </c>
      <c r="H12" s="1">
        <v>8.1026280290276628E-3</v>
      </c>
      <c r="I12" s="1">
        <v>8.1582108993236476E-3</v>
      </c>
      <c r="J12" s="1">
        <v>8.5975507564920433E-3</v>
      </c>
      <c r="K12" s="1">
        <v>8.5975507564920173E-3</v>
      </c>
      <c r="L12" s="1">
        <v>8.5975507564920173E-3</v>
      </c>
      <c r="M12" s="1">
        <v>8.597550756492019E-3</v>
      </c>
      <c r="N12" s="1">
        <v>8.597550756492019E-3</v>
      </c>
      <c r="O12" s="1">
        <v>8.2408207720963394E-3</v>
      </c>
      <c r="P12" s="1"/>
      <c r="Q12" s="2">
        <v>34</v>
      </c>
      <c r="R12" s="1" t="s">
        <v>17</v>
      </c>
      <c r="S12" s="19" t="s">
        <v>25</v>
      </c>
      <c r="T12" s="19">
        <v>1.2784438115142471E-2</v>
      </c>
      <c r="U12" s="1"/>
      <c r="V12" s="2" t="s">
        <v>44</v>
      </c>
      <c r="W12" s="19">
        <v>1.152324798453578E-2</v>
      </c>
      <c r="X12" s="16">
        <v>4.839895390274295E-3</v>
      </c>
      <c r="Y12" s="18">
        <v>8.9444977066155895E-2</v>
      </c>
      <c r="Z12" s="17">
        <v>7.4857341507347075E-2</v>
      </c>
      <c r="AA12" s="1">
        <f t="shared" si="0"/>
        <v>0.18066546194831304</v>
      </c>
      <c r="AC12" s="22">
        <v>877</v>
      </c>
      <c r="AD12" s="1" t="s">
        <v>17</v>
      </c>
      <c r="AE12" s="1">
        <v>2014</v>
      </c>
      <c r="AF12" s="1" t="s">
        <v>24</v>
      </c>
      <c r="AG12" s="1">
        <v>32953.599999999999</v>
      </c>
      <c r="AH12" s="1">
        <v>4088215.6</v>
      </c>
      <c r="AI12" s="1">
        <v>8.0606316359635999E-3</v>
      </c>
      <c r="AJ12" s="1"/>
      <c r="AK12" s="22">
        <v>2073</v>
      </c>
      <c r="AL12" s="1" t="s">
        <v>61</v>
      </c>
      <c r="AM12" s="1">
        <v>2014</v>
      </c>
      <c r="AN12" s="1" t="s">
        <v>24</v>
      </c>
      <c r="AO12" s="1">
        <v>68297.8</v>
      </c>
      <c r="AP12" s="1">
        <v>40350049.200000003</v>
      </c>
      <c r="AQ12" s="1">
        <v>1.692632384696E-3</v>
      </c>
      <c r="AR12" s="1"/>
      <c r="AS12" s="22">
        <v>3269</v>
      </c>
      <c r="AT12" s="1" t="s">
        <v>44</v>
      </c>
      <c r="AU12" s="1">
        <v>2014</v>
      </c>
      <c r="AV12" s="1" t="s">
        <v>24</v>
      </c>
      <c r="AW12" s="1">
        <v>8263.5</v>
      </c>
      <c r="AX12" s="1">
        <v>6735816.8000000007</v>
      </c>
      <c r="AY12" s="1">
        <v>1.2267999925413E-3</v>
      </c>
      <c r="AZ12" s="1"/>
      <c r="BA12" s="22">
        <v>4465</v>
      </c>
      <c r="BB12" s="1" t="s">
        <v>38</v>
      </c>
      <c r="BC12" s="1">
        <v>2014</v>
      </c>
      <c r="BD12" s="1" t="s">
        <v>24</v>
      </c>
      <c r="BE12" s="1">
        <v>6358.4</v>
      </c>
      <c r="BF12" s="1">
        <v>6538596.7000000002</v>
      </c>
      <c r="BG12" s="1">
        <v>9.7244107439749998E-4</v>
      </c>
      <c r="BH12" s="1"/>
      <c r="BI12" s="22">
        <v>5661</v>
      </c>
      <c r="BJ12" s="1" t="s">
        <v>31</v>
      </c>
      <c r="BK12" s="1">
        <v>2014</v>
      </c>
      <c r="BL12" s="1" t="s">
        <v>24</v>
      </c>
      <c r="BM12" s="1">
        <v>8730.7000000000007</v>
      </c>
      <c r="BN12" s="1">
        <v>9155477.5</v>
      </c>
      <c r="BO12" s="1">
        <v>9.5360400372339999E-4</v>
      </c>
      <c r="BP12" s="1"/>
      <c r="BQ12" s="22">
        <v>6857</v>
      </c>
      <c r="BR12" s="1" t="s">
        <v>51</v>
      </c>
      <c r="BS12" s="1">
        <v>2014</v>
      </c>
      <c r="BT12" s="1" t="s">
        <v>24</v>
      </c>
      <c r="BU12" s="1">
        <v>2245.6</v>
      </c>
      <c r="BV12" s="1">
        <v>4981875.5</v>
      </c>
      <c r="BW12" s="1">
        <v>4.5075393794960001E-4</v>
      </c>
      <c r="BX12" s="1"/>
      <c r="BY12" s="22">
        <v>8053</v>
      </c>
      <c r="BZ12" s="1" t="s">
        <v>57</v>
      </c>
      <c r="CA12" s="1">
        <v>2014</v>
      </c>
      <c r="CB12" s="1" t="s">
        <v>24</v>
      </c>
      <c r="CC12" s="1">
        <v>4869</v>
      </c>
      <c r="CD12" s="1">
        <v>11026913.800000001</v>
      </c>
      <c r="CE12" s="1">
        <v>4.415560045458E-4</v>
      </c>
      <c r="CF12" s="1"/>
      <c r="CG12" s="22">
        <v>923</v>
      </c>
      <c r="CH12" s="1" t="s">
        <v>17</v>
      </c>
      <c r="CI12" s="1">
        <v>2015</v>
      </c>
      <c r="CJ12" s="1" t="s">
        <v>24</v>
      </c>
      <c r="CK12" s="1">
        <v>28692</v>
      </c>
      <c r="CL12" s="1">
        <v>3555133.8</v>
      </c>
      <c r="CM12" s="1">
        <v>8.0705823223867993E-3</v>
      </c>
      <c r="CN12" s="1"/>
      <c r="CO12" s="22">
        <v>2119</v>
      </c>
      <c r="CP12" s="1" t="s">
        <v>61</v>
      </c>
      <c r="CQ12" s="1">
        <v>2015</v>
      </c>
      <c r="CR12" s="1" t="s">
        <v>24</v>
      </c>
      <c r="CS12" s="1">
        <v>64883.5</v>
      </c>
      <c r="CT12" s="1">
        <v>41208556.399999999</v>
      </c>
      <c r="CU12" s="1">
        <v>1.5745152382964E-3</v>
      </c>
      <c r="CV12" s="1"/>
      <c r="CW12" s="22">
        <v>3315</v>
      </c>
      <c r="CX12" s="1" t="s">
        <v>44</v>
      </c>
      <c r="CY12" s="1">
        <v>2015</v>
      </c>
      <c r="CZ12" s="1" t="s">
        <v>24</v>
      </c>
      <c r="DA12" s="1">
        <v>8307.7000000000007</v>
      </c>
      <c r="DB12" s="1">
        <v>6404349.4000000004</v>
      </c>
      <c r="DC12" s="1">
        <v>1.2971965583263999E-3</v>
      </c>
      <c r="DD12" s="1"/>
      <c r="DE12" s="22">
        <v>4511</v>
      </c>
      <c r="DF12" s="1" t="s">
        <v>38</v>
      </c>
      <c r="DG12" s="1">
        <v>2015</v>
      </c>
      <c r="DH12" s="1" t="s">
        <v>24</v>
      </c>
      <c r="DI12" s="1">
        <v>4703.8999999999996</v>
      </c>
      <c r="DJ12" s="1">
        <v>5531517.5999999996</v>
      </c>
      <c r="DK12" s="1">
        <v>8.5038145770330005E-4</v>
      </c>
      <c r="DL12" s="1"/>
      <c r="DM12" s="22">
        <v>5707</v>
      </c>
      <c r="DN12" s="1" t="s">
        <v>31</v>
      </c>
      <c r="DO12" s="1">
        <v>2015</v>
      </c>
      <c r="DP12" s="1" t="s">
        <v>24</v>
      </c>
      <c r="DQ12" s="1">
        <v>7755.4</v>
      </c>
      <c r="DR12" s="1">
        <v>7894528</v>
      </c>
      <c r="DS12" s="1">
        <v>9.8237665380370006E-4</v>
      </c>
      <c r="DT12" s="1"/>
      <c r="DU12" s="22">
        <v>6903</v>
      </c>
      <c r="DV12" s="1" t="s">
        <v>51</v>
      </c>
      <c r="DW12" s="1">
        <v>2015</v>
      </c>
      <c r="DX12" s="1" t="s">
        <v>24</v>
      </c>
      <c r="DY12" s="1">
        <v>1491</v>
      </c>
      <c r="DZ12" s="1">
        <v>4209274.5999999996</v>
      </c>
      <c r="EA12" s="1">
        <v>3.5421780275390002E-4</v>
      </c>
      <c r="EB12" s="1"/>
      <c r="EC12" s="22">
        <v>8099</v>
      </c>
      <c r="ED12" s="1" t="s">
        <v>57</v>
      </c>
      <c r="EE12" s="1">
        <v>2015</v>
      </c>
      <c r="EF12" s="1" t="s">
        <v>24</v>
      </c>
      <c r="EG12" s="1">
        <v>4065.6</v>
      </c>
      <c r="EH12" s="1">
        <v>9729477.0999999996</v>
      </c>
      <c r="EI12" s="1">
        <v>4.178641830607E-4</v>
      </c>
      <c r="EJ12" s="1"/>
      <c r="EK12" s="22">
        <v>969</v>
      </c>
      <c r="EL12" s="1" t="s">
        <v>17</v>
      </c>
      <c r="EM12" s="1">
        <v>2016</v>
      </c>
      <c r="EN12" s="1" t="s">
        <v>24</v>
      </c>
      <c r="EO12" s="1">
        <v>25405.4</v>
      </c>
      <c r="EP12" s="1">
        <v>3463407</v>
      </c>
      <c r="EQ12" s="1">
        <v>7.3353781406573998E-3</v>
      </c>
      <c r="ER12" s="1"/>
      <c r="ES12" s="22">
        <v>2165</v>
      </c>
      <c r="ET12" s="1" t="s">
        <v>61</v>
      </c>
      <c r="EU12" s="1">
        <v>2016</v>
      </c>
      <c r="EV12" s="1" t="s">
        <v>24</v>
      </c>
      <c r="EW12" s="1">
        <v>63557.5</v>
      </c>
      <c r="EX12" s="1">
        <v>42141395.200000003</v>
      </c>
      <c r="EY12" s="1">
        <v>1.5081963873849E-3</v>
      </c>
      <c r="EZ12" s="1"/>
      <c r="FA12" s="22">
        <v>3361</v>
      </c>
      <c r="FB12" s="1" t="s">
        <v>44</v>
      </c>
      <c r="FC12" s="1">
        <v>2016</v>
      </c>
      <c r="FD12" s="1" t="s">
        <v>24</v>
      </c>
      <c r="FE12" s="1">
        <v>7048</v>
      </c>
      <c r="FF12" s="1">
        <v>5868597.7999999998</v>
      </c>
      <c r="FG12" s="1">
        <v>1.2009683130781001E-3</v>
      </c>
      <c r="FH12" s="1"/>
      <c r="FI12" s="22">
        <v>4557</v>
      </c>
      <c r="FJ12" s="1" t="s">
        <v>38</v>
      </c>
      <c r="FK12" s="1">
        <v>2016</v>
      </c>
      <c r="FL12" s="1" t="s">
        <v>24</v>
      </c>
      <c r="FM12" s="1">
        <v>4521.2</v>
      </c>
      <c r="FN12" s="1">
        <v>5582986.5</v>
      </c>
      <c r="FO12" s="1">
        <v>8.0981746955680002E-4</v>
      </c>
      <c r="FP12" s="1"/>
      <c r="FQ12" s="22">
        <v>5753</v>
      </c>
      <c r="FR12" s="1" t="s">
        <v>31</v>
      </c>
      <c r="FS12" s="1">
        <v>2016</v>
      </c>
      <c r="FT12" s="1" t="s">
        <v>24</v>
      </c>
      <c r="FU12" s="1">
        <v>7344.3</v>
      </c>
      <c r="FV12" s="1">
        <v>8130820.9000000004</v>
      </c>
      <c r="FW12" s="1">
        <v>9.0326672919330004E-4</v>
      </c>
      <c r="FX12" s="1"/>
      <c r="FY12" s="22">
        <v>6949</v>
      </c>
      <c r="FZ12" s="1" t="s">
        <v>51</v>
      </c>
      <c r="GA12" s="1">
        <v>2016</v>
      </c>
      <c r="GB12" s="1" t="s">
        <v>24</v>
      </c>
      <c r="GC12" s="1">
        <v>1337.9</v>
      </c>
      <c r="GD12" s="1">
        <v>4230502.5999999996</v>
      </c>
      <c r="GE12" s="1">
        <v>3.162508397938E-4</v>
      </c>
      <c r="GF12" s="1"/>
      <c r="GG12" s="22">
        <v>8145</v>
      </c>
      <c r="GH12" s="1" t="s">
        <v>57</v>
      </c>
      <c r="GI12" s="1">
        <v>2016</v>
      </c>
      <c r="GJ12" s="1" t="s">
        <v>24</v>
      </c>
      <c r="GK12" s="1">
        <v>4251.3</v>
      </c>
      <c r="GL12" s="1">
        <v>10773649.5</v>
      </c>
      <c r="GM12" s="1">
        <v>3.946016621387E-4</v>
      </c>
      <c r="GN12" s="1"/>
      <c r="GO12" s="22">
        <v>1015</v>
      </c>
      <c r="GP12" s="1" t="s">
        <v>17</v>
      </c>
      <c r="GQ12" s="1">
        <v>2017</v>
      </c>
      <c r="GR12" s="1" t="s">
        <v>24</v>
      </c>
      <c r="GS12" s="1">
        <v>29511.8</v>
      </c>
      <c r="GT12" s="1">
        <v>3719735.5</v>
      </c>
      <c r="GU12" s="1">
        <v>7.9338436832403006E-3</v>
      </c>
      <c r="GV12" s="1"/>
      <c r="GW12" s="22">
        <v>2211</v>
      </c>
      <c r="GX12" s="1" t="s">
        <v>61</v>
      </c>
      <c r="GY12" s="1">
        <v>2017</v>
      </c>
      <c r="GZ12" s="1" t="s">
        <v>24</v>
      </c>
      <c r="HA12" s="1">
        <v>68910.2</v>
      </c>
      <c r="HB12" s="1">
        <v>44107004.100000001</v>
      </c>
      <c r="HC12" s="1">
        <v>1.5623414332055999E-3</v>
      </c>
      <c r="HD12" s="1"/>
      <c r="HE12" s="22">
        <v>3407</v>
      </c>
      <c r="HF12" s="1" t="s">
        <v>44</v>
      </c>
      <c r="HG12" s="1">
        <v>2017</v>
      </c>
      <c r="HH12" s="1" t="s">
        <v>24</v>
      </c>
      <c r="HI12" s="1">
        <v>6862.5</v>
      </c>
      <c r="HJ12" s="1">
        <v>5855367.5</v>
      </c>
      <c r="HK12" s="1">
        <v>1.1720015865784E-3</v>
      </c>
      <c r="HL12" s="1"/>
      <c r="HM12" s="22">
        <v>4603</v>
      </c>
      <c r="HN12" s="1" t="s">
        <v>38</v>
      </c>
      <c r="HO12" s="1">
        <v>2017</v>
      </c>
      <c r="HP12" s="1" t="s">
        <v>24</v>
      </c>
      <c r="HQ12" s="1">
        <v>4773</v>
      </c>
      <c r="HR12" s="1">
        <v>5923445.7000000002</v>
      </c>
      <c r="HS12" s="1">
        <v>8.0578100006889995E-4</v>
      </c>
      <c r="HT12" s="1"/>
      <c r="HU12" s="22">
        <v>5799</v>
      </c>
      <c r="HV12" s="1" t="s">
        <v>31</v>
      </c>
      <c r="HW12" s="1">
        <v>2017</v>
      </c>
      <c r="HX12" s="1" t="s">
        <v>24</v>
      </c>
      <c r="HY12" s="1">
        <v>7813.5</v>
      </c>
      <c r="HZ12" s="1">
        <v>8686095.3000000007</v>
      </c>
      <c r="IA12" s="1">
        <v>8.995411321356E-4</v>
      </c>
      <c r="IB12" s="1"/>
      <c r="IC12" s="22">
        <v>6995</v>
      </c>
      <c r="ID12" s="1" t="s">
        <v>51</v>
      </c>
      <c r="IE12" s="1">
        <v>2017</v>
      </c>
      <c r="IF12" s="1" t="s">
        <v>24</v>
      </c>
      <c r="IG12" s="1">
        <v>4127.1000000000004</v>
      </c>
      <c r="IH12" s="1">
        <v>4472691.8</v>
      </c>
      <c r="II12" s="1">
        <v>9.2273292785340002E-4</v>
      </c>
      <c r="IJ12" s="1"/>
      <c r="IK12" s="22">
        <v>8191</v>
      </c>
      <c r="IL12" s="1" t="s">
        <v>57</v>
      </c>
      <c r="IM12" s="1">
        <v>2017</v>
      </c>
      <c r="IN12" s="1" t="s">
        <v>24</v>
      </c>
      <c r="IO12" s="1">
        <v>4246.6000000000004</v>
      </c>
      <c r="IP12" s="1">
        <v>10750260.5</v>
      </c>
      <c r="IQ12" s="1">
        <v>3.9502298572199998E-4</v>
      </c>
      <c r="IR12" s="1"/>
      <c r="IS12" s="22">
        <v>1061</v>
      </c>
      <c r="IT12" s="1" t="s">
        <v>17</v>
      </c>
      <c r="IU12" s="1">
        <v>2018</v>
      </c>
      <c r="IV12" s="1" t="s">
        <v>24</v>
      </c>
      <c r="IW12" s="1">
        <v>31634</v>
      </c>
      <c r="IX12" s="1">
        <v>3904165.4</v>
      </c>
      <c r="IY12" s="1">
        <v>8.1026280290276004E-3</v>
      </c>
      <c r="IZ12" s="1"/>
      <c r="JA12" s="22">
        <v>2257</v>
      </c>
      <c r="JB12" s="1" t="s">
        <v>61</v>
      </c>
      <c r="JC12" s="1">
        <v>2018</v>
      </c>
      <c r="JD12" s="1" t="s">
        <v>24</v>
      </c>
      <c r="JE12" s="1">
        <v>72430.2</v>
      </c>
      <c r="JF12" s="1">
        <v>46669099.200000003</v>
      </c>
      <c r="JG12" s="1">
        <v>1.5519948154473001E-3</v>
      </c>
      <c r="JH12" s="1"/>
      <c r="JI12" s="22">
        <v>3453</v>
      </c>
      <c r="JJ12" s="1" t="s">
        <v>44</v>
      </c>
      <c r="JK12" s="1">
        <v>2018</v>
      </c>
      <c r="JL12" s="1" t="s">
        <v>24</v>
      </c>
      <c r="JM12" s="1">
        <v>8063.7</v>
      </c>
      <c r="JN12" s="1">
        <v>6336724.7000000002</v>
      </c>
      <c r="JO12" s="1">
        <v>1.2725343741065E-3</v>
      </c>
      <c r="JP12" s="1"/>
      <c r="JQ12" s="22">
        <v>4649</v>
      </c>
      <c r="JR12" s="1" t="s">
        <v>38</v>
      </c>
      <c r="JS12" s="1">
        <v>2018</v>
      </c>
      <c r="JT12" s="1" t="s">
        <v>24</v>
      </c>
      <c r="JU12" s="1">
        <v>5241.5</v>
      </c>
      <c r="JV12" s="1">
        <v>6390706</v>
      </c>
      <c r="JW12" s="1">
        <v>8.2017542349780001E-4</v>
      </c>
      <c r="JX12" s="1"/>
      <c r="JY12" s="22">
        <v>5845</v>
      </c>
      <c r="JZ12" s="1" t="s">
        <v>31</v>
      </c>
      <c r="KA12" s="1">
        <v>2018</v>
      </c>
      <c r="KB12" s="1" t="s">
        <v>24</v>
      </c>
      <c r="KC12" s="1">
        <v>7626.3</v>
      </c>
      <c r="KD12" s="1">
        <v>9443218.3000000007</v>
      </c>
      <c r="KE12" s="1">
        <v>8.0759543597540002E-4</v>
      </c>
      <c r="KF12" s="1"/>
      <c r="KG12" s="22">
        <v>7041</v>
      </c>
      <c r="KH12" s="1" t="s">
        <v>51</v>
      </c>
      <c r="KI12" s="1">
        <v>2018</v>
      </c>
      <c r="KJ12" s="1" t="s">
        <v>24</v>
      </c>
      <c r="KK12" s="1">
        <v>3809.6</v>
      </c>
      <c r="KL12" s="1">
        <v>4803387.8</v>
      </c>
      <c r="KM12" s="1">
        <v>7.9310689842689995E-4</v>
      </c>
      <c r="KN12" s="1"/>
      <c r="KO12" s="22">
        <v>8237</v>
      </c>
      <c r="KP12" s="1" t="s">
        <v>57</v>
      </c>
      <c r="KQ12" s="1">
        <v>2018</v>
      </c>
      <c r="KR12" s="1" t="s">
        <v>24</v>
      </c>
      <c r="KS12" s="1">
        <v>4392</v>
      </c>
      <c r="KT12" s="1">
        <v>11172914.4</v>
      </c>
      <c r="KU12" s="1">
        <v>3.9309349761059998E-4</v>
      </c>
      <c r="KV12" s="1"/>
      <c r="KW12" s="22">
        <v>1107</v>
      </c>
      <c r="KX12" s="1" t="s">
        <v>17</v>
      </c>
      <c r="KY12" s="1">
        <v>2019</v>
      </c>
      <c r="KZ12" s="1" t="s">
        <v>24</v>
      </c>
      <c r="LA12" s="1">
        <v>32268.400000000001</v>
      </c>
      <c r="LB12" s="1">
        <v>3955328</v>
      </c>
      <c r="LC12" s="1">
        <v>8.1582108993236008E-3</v>
      </c>
      <c r="LD12" s="1"/>
      <c r="LE12" s="22">
        <v>2303</v>
      </c>
      <c r="LF12" s="1" t="s">
        <v>61</v>
      </c>
      <c r="LG12" s="1">
        <v>2019</v>
      </c>
      <c r="LH12" s="1" t="s">
        <v>24</v>
      </c>
      <c r="LI12" s="1">
        <v>74632.100000000006</v>
      </c>
      <c r="LJ12" s="1">
        <v>48356774.5</v>
      </c>
      <c r="LK12" s="1">
        <v>1.5433638982681999E-3</v>
      </c>
      <c r="LL12" s="1"/>
      <c r="LM12" s="22">
        <v>3499</v>
      </c>
      <c r="LN12" s="1" t="s">
        <v>44</v>
      </c>
      <c r="LO12" s="1">
        <v>2019</v>
      </c>
      <c r="LP12" s="1" t="s">
        <v>24</v>
      </c>
      <c r="LQ12" s="1">
        <v>7532.1</v>
      </c>
      <c r="LR12" s="1">
        <v>6269787.0999999996</v>
      </c>
      <c r="LS12" s="1">
        <v>1.201332657691E-3</v>
      </c>
      <c r="LT12" s="1"/>
      <c r="LU12" s="22">
        <v>4695</v>
      </c>
      <c r="LV12" s="1" t="s">
        <v>38</v>
      </c>
      <c r="LW12" s="1">
        <v>2019</v>
      </c>
      <c r="LX12" s="1" t="s">
        <v>24</v>
      </c>
      <c r="LY12" s="1">
        <v>5045.6000000000004</v>
      </c>
      <c r="LZ12" s="1">
        <v>6182094.5</v>
      </c>
      <c r="MA12" s="1">
        <v>8.1616351869089998E-4</v>
      </c>
      <c r="MB12" s="1"/>
      <c r="MC12" s="22">
        <v>5891</v>
      </c>
      <c r="MD12" s="1" t="s">
        <v>31</v>
      </c>
      <c r="ME12" s="1">
        <v>2019</v>
      </c>
      <c r="MF12" s="1" t="s">
        <v>24</v>
      </c>
      <c r="MG12" s="1">
        <v>7437.3</v>
      </c>
      <c r="MH12" s="1">
        <v>9237079</v>
      </c>
      <c r="MI12" s="1">
        <v>8.051571281354E-4</v>
      </c>
      <c r="MJ12" s="1"/>
      <c r="MK12" s="22">
        <v>7087</v>
      </c>
      <c r="ML12" s="1" t="s">
        <v>51</v>
      </c>
      <c r="MM12" s="1">
        <v>2019</v>
      </c>
      <c r="MN12" s="1" t="s">
        <v>24</v>
      </c>
      <c r="MO12" s="1">
        <v>3717.4</v>
      </c>
      <c r="MP12" s="1">
        <v>4608662</v>
      </c>
      <c r="MQ12" s="1">
        <v>8.0661155016349998E-4</v>
      </c>
      <c r="MR12" s="1"/>
      <c r="MS12" s="22">
        <v>8283</v>
      </c>
      <c r="MT12" s="1" t="s">
        <v>57</v>
      </c>
      <c r="MU12" s="1">
        <v>2019</v>
      </c>
      <c r="MV12" s="1" t="s">
        <v>24</v>
      </c>
      <c r="MW12" s="1">
        <v>4312.8</v>
      </c>
      <c r="MX12" s="1">
        <v>11338077</v>
      </c>
      <c r="MY12" s="1">
        <v>3.8038196424309997E-4</v>
      </c>
      <c r="MZ12" s="1"/>
      <c r="NA12" s="22">
        <v>1153</v>
      </c>
      <c r="NB12" s="1" t="s">
        <v>17</v>
      </c>
      <c r="NC12" s="1">
        <v>2020</v>
      </c>
      <c r="ND12" s="1" t="s">
        <v>24</v>
      </c>
      <c r="NE12" s="1">
        <v>32539.599999999999</v>
      </c>
      <c r="NF12" s="1">
        <v>3784752.3</v>
      </c>
      <c r="NG12" s="1">
        <v>8.5975507564919999E-3</v>
      </c>
      <c r="NH12" s="1"/>
      <c r="NI12" s="22">
        <v>2349</v>
      </c>
      <c r="NJ12" s="1" t="s">
        <v>61</v>
      </c>
      <c r="NK12" s="1">
        <v>2020</v>
      </c>
      <c r="NL12" s="1" t="s">
        <v>24</v>
      </c>
      <c r="NM12" s="1">
        <v>71444.600000000006</v>
      </c>
      <c r="NN12" s="1">
        <v>47421769.399999999</v>
      </c>
      <c r="NO12" s="1">
        <v>1.5065781159991E-3</v>
      </c>
      <c r="NP12" s="1"/>
      <c r="NQ12" s="22">
        <v>3545</v>
      </c>
      <c r="NR12" s="1" t="s">
        <v>44</v>
      </c>
      <c r="NS12" s="1">
        <v>2020</v>
      </c>
      <c r="NT12" s="1" t="s">
        <v>24</v>
      </c>
      <c r="NU12" s="1">
        <v>7387.2</v>
      </c>
      <c r="NV12" s="1">
        <v>5955345.3666666672</v>
      </c>
      <c r="NW12" s="1">
        <v>1.2404318381512001E-3</v>
      </c>
      <c r="NX12" s="1"/>
      <c r="NY12" s="22">
        <v>4741</v>
      </c>
      <c r="NZ12" s="1" t="s">
        <v>38</v>
      </c>
      <c r="OA12" s="1">
        <v>2020</v>
      </c>
      <c r="OB12" s="1" t="s">
        <v>24</v>
      </c>
      <c r="OC12" s="1">
        <v>4684.2</v>
      </c>
      <c r="OD12" s="1">
        <v>5990228.4000000004</v>
      </c>
      <c r="OE12" s="1">
        <v>7.8197352207800002E-4</v>
      </c>
      <c r="OF12" s="1"/>
      <c r="OG12" s="22">
        <v>5937</v>
      </c>
      <c r="OH12" s="1" t="s">
        <v>31</v>
      </c>
      <c r="OI12" s="1">
        <v>2020</v>
      </c>
      <c r="OJ12" s="1" t="s">
        <v>24</v>
      </c>
      <c r="OK12" s="1">
        <v>6972.2</v>
      </c>
      <c r="OL12" s="1">
        <v>9257180.0999999996</v>
      </c>
      <c r="OM12" s="1">
        <v>7.5316672298509995E-4</v>
      </c>
      <c r="ON12" s="1"/>
      <c r="OO12" s="22">
        <v>7133</v>
      </c>
      <c r="OP12" s="1" t="s">
        <v>51</v>
      </c>
      <c r="OQ12" s="1">
        <v>2020</v>
      </c>
      <c r="OR12" s="1" t="s">
        <v>24</v>
      </c>
      <c r="OS12" s="1">
        <v>3025.6</v>
      </c>
      <c r="OT12" s="1">
        <v>4352046.4000000004</v>
      </c>
      <c r="OU12" s="1">
        <v>6.9521317603590002E-4</v>
      </c>
      <c r="OV12" s="1"/>
      <c r="OW12" s="22">
        <v>8329</v>
      </c>
      <c r="OX12" s="1" t="s">
        <v>57</v>
      </c>
      <c r="OY12" s="1">
        <v>2020</v>
      </c>
      <c r="OZ12" s="1" t="s">
        <v>24</v>
      </c>
      <c r="PA12" s="1">
        <v>4481.1000000000004</v>
      </c>
      <c r="PB12" s="1">
        <v>11082248.733333331</v>
      </c>
      <c r="PC12" s="1">
        <v>4.043493435156E-4</v>
      </c>
      <c r="PD12" s="1"/>
      <c r="PE12" s="22">
        <v>8375</v>
      </c>
      <c r="PF12" s="1" t="s">
        <v>17</v>
      </c>
      <c r="PG12" s="1">
        <v>2021</v>
      </c>
      <c r="PH12" s="1" t="s">
        <v>24</v>
      </c>
      <c r="PI12" s="1">
        <v>39746.470482218589</v>
      </c>
      <c r="PJ12" s="1">
        <v>4622999.2247741111</v>
      </c>
      <c r="PK12" s="1">
        <v>8.5975507564919999E-3</v>
      </c>
      <c r="PL12" s="1"/>
      <c r="PM12" s="22">
        <v>9295</v>
      </c>
      <c r="PN12" s="1" t="s">
        <v>61</v>
      </c>
      <c r="PO12" s="1">
        <v>2021</v>
      </c>
      <c r="PP12" s="1" t="s">
        <v>24</v>
      </c>
      <c r="PQ12" s="1">
        <v>79230.398917299244</v>
      </c>
      <c r="PR12" s="1">
        <v>52589638.782026872</v>
      </c>
      <c r="PS12" s="1">
        <v>1.5065781159991E-3</v>
      </c>
      <c r="PT12" s="1"/>
      <c r="PU12" s="22">
        <v>10215</v>
      </c>
      <c r="PV12" s="1" t="s">
        <v>44</v>
      </c>
      <c r="PW12" s="1">
        <v>2021</v>
      </c>
      <c r="PX12" s="1" t="s">
        <v>24</v>
      </c>
      <c r="PY12" s="1">
        <v>8610.3922099684205</v>
      </c>
      <c r="PZ12" s="1">
        <v>6941447.2808129201</v>
      </c>
      <c r="QA12" s="1">
        <v>1.2404318381512001E-3</v>
      </c>
      <c r="QB12" s="1"/>
      <c r="QC12" s="22">
        <v>11135</v>
      </c>
      <c r="QD12" s="1" t="s">
        <v>38</v>
      </c>
      <c r="QE12" s="1">
        <v>2021</v>
      </c>
      <c r="QF12" s="1" t="s">
        <v>24</v>
      </c>
      <c r="QG12" s="1">
        <v>5247.6279229432048</v>
      </c>
      <c r="QH12" s="1">
        <v>6710748.8614170318</v>
      </c>
      <c r="QI12" s="1">
        <v>7.8197352207800002E-4</v>
      </c>
      <c r="QJ12" s="1"/>
      <c r="QK12" s="22">
        <v>12055</v>
      </c>
      <c r="QL12" s="1" t="s">
        <v>31</v>
      </c>
      <c r="QM12" s="1">
        <v>2021</v>
      </c>
      <c r="QN12" s="1" t="s">
        <v>24</v>
      </c>
      <c r="QO12" s="1">
        <v>7694.4517859770158</v>
      </c>
      <c r="QP12" s="1">
        <v>10216133.49495957</v>
      </c>
      <c r="QQ12" s="1">
        <v>7.5316672298509995E-4</v>
      </c>
      <c r="QR12" s="1"/>
      <c r="QS12" s="22">
        <v>12975</v>
      </c>
      <c r="QT12" s="1" t="s">
        <v>51</v>
      </c>
      <c r="QU12" s="1">
        <v>2021</v>
      </c>
      <c r="QV12" s="1" t="s">
        <v>24</v>
      </c>
      <c r="QW12" s="1">
        <v>3456.6117474359571</v>
      </c>
      <c r="QX12" s="1">
        <v>4972017.0252605537</v>
      </c>
      <c r="QY12" s="1">
        <v>6.9521317603590002E-4</v>
      </c>
      <c r="QZ12" s="1"/>
      <c r="RA12" s="22">
        <v>13895</v>
      </c>
      <c r="RB12" s="1" t="s">
        <v>57</v>
      </c>
      <c r="RC12" s="1">
        <v>2021</v>
      </c>
      <c r="RD12" s="1" t="s">
        <v>24</v>
      </c>
      <c r="RE12" s="1">
        <v>4467.8714511274311</v>
      </c>
      <c r="RF12" s="1">
        <v>11049533.09007922</v>
      </c>
      <c r="RG12" s="1">
        <v>4.043493435156E-4</v>
      </c>
      <c r="RH12" s="1"/>
      <c r="RI12" s="22">
        <v>8421</v>
      </c>
      <c r="RJ12" s="1" t="s">
        <v>17</v>
      </c>
      <c r="RK12" s="1">
        <v>2022</v>
      </c>
      <c r="RL12" s="1" t="s">
        <v>24</v>
      </c>
      <c r="RM12" s="1">
        <v>43048.816942887301</v>
      </c>
      <c r="RN12" s="1">
        <v>5007102.3902221443</v>
      </c>
      <c r="RO12" s="1">
        <v>8.5975507564919999E-3</v>
      </c>
      <c r="RP12" s="1"/>
      <c r="RQ12" s="22">
        <v>9341</v>
      </c>
      <c r="RR12" s="1" t="s">
        <v>61</v>
      </c>
      <c r="RS12" s="1">
        <v>2022</v>
      </c>
      <c r="RT12" s="1" t="s">
        <v>24</v>
      </c>
      <c r="RU12" s="1">
        <v>87011.513842301487</v>
      </c>
      <c r="RV12" s="1">
        <v>57754399.13688051</v>
      </c>
      <c r="RW12" s="1">
        <v>1.5065781159991E-3</v>
      </c>
      <c r="RX12" s="1"/>
      <c r="RY12" s="22">
        <v>10261</v>
      </c>
      <c r="RZ12" s="1" t="s">
        <v>44</v>
      </c>
      <c r="SA12" s="1">
        <v>2022</v>
      </c>
      <c r="SB12" s="1" t="s">
        <v>24</v>
      </c>
      <c r="SC12" s="1">
        <v>8530.1864772056488</v>
      </c>
      <c r="SD12" s="1">
        <v>6876787.7563667288</v>
      </c>
      <c r="SE12" s="1">
        <v>1.2404318381512001E-3</v>
      </c>
      <c r="SF12" s="1"/>
      <c r="SG12" s="22">
        <v>11181</v>
      </c>
      <c r="SH12" s="1" t="s">
        <v>38</v>
      </c>
      <c r="SI12" s="1">
        <v>2022</v>
      </c>
      <c r="SJ12" s="1" t="s">
        <v>24</v>
      </c>
      <c r="SK12" s="1">
        <v>4946.6671928635042</v>
      </c>
      <c r="SL12" s="1">
        <v>6325875.5612572851</v>
      </c>
      <c r="SM12" s="1">
        <v>7.8197352207800002E-4</v>
      </c>
      <c r="SN12" s="1"/>
      <c r="SO12" s="22">
        <v>12101</v>
      </c>
      <c r="SP12" s="1" t="s">
        <v>31</v>
      </c>
      <c r="SQ12" s="1">
        <v>2022</v>
      </c>
      <c r="SR12" s="1" t="s">
        <v>24</v>
      </c>
      <c r="SS12" s="1">
        <v>7367.6194043865198</v>
      </c>
      <c r="ST12" s="1">
        <v>9782189.227885304</v>
      </c>
      <c r="SU12" s="1">
        <v>7.5316672298509995E-4</v>
      </c>
      <c r="SV12" s="1"/>
      <c r="SW12" s="22">
        <v>13021</v>
      </c>
      <c r="SX12" s="1" t="s">
        <v>51</v>
      </c>
      <c r="SY12" s="1">
        <v>2022</v>
      </c>
      <c r="SZ12" s="1" t="s">
        <v>24</v>
      </c>
      <c r="TA12" s="1">
        <v>3337.4264432650239</v>
      </c>
      <c r="TB12" s="1">
        <v>4800579.963537232</v>
      </c>
      <c r="TC12" s="1">
        <v>6.9521317603590002E-4</v>
      </c>
      <c r="TD12" s="1"/>
      <c r="TE12" s="22">
        <v>13941</v>
      </c>
      <c r="TF12" s="1" t="s">
        <v>57</v>
      </c>
      <c r="TG12" s="1">
        <v>2022</v>
      </c>
      <c r="TH12" s="1" t="s">
        <v>24</v>
      </c>
      <c r="TI12" s="1">
        <v>3779.2332725901451</v>
      </c>
      <c r="TJ12" s="1">
        <v>9346455.8140041605</v>
      </c>
      <c r="TK12" s="1">
        <v>4.043493435156E-4</v>
      </c>
      <c r="TL12" s="1"/>
      <c r="TM12" s="22">
        <v>8467</v>
      </c>
      <c r="TN12" s="1" t="s">
        <v>17</v>
      </c>
      <c r="TO12" s="1">
        <v>2023</v>
      </c>
      <c r="TP12" s="1" t="s">
        <v>24</v>
      </c>
      <c r="TQ12" s="1">
        <v>42713.334861808842</v>
      </c>
      <c r="TR12" s="1">
        <v>4968081.7329930915</v>
      </c>
      <c r="TS12" s="1">
        <v>8.5975507564919999E-3</v>
      </c>
      <c r="TT12" s="1"/>
      <c r="TU12" s="22">
        <v>9387</v>
      </c>
      <c r="TV12" s="1" t="s">
        <v>61</v>
      </c>
      <c r="TW12" s="1">
        <v>2023</v>
      </c>
      <c r="TX12" s="1" t="s">
        <v>24</v>
      </c>
      <c r="TY12" s="1">
        <v>92745.389560781434</v>
      </c>
      <c r="TZ12" s="1">
        <v>61560292.543660469</v>
      </c>
      <c r="UA12" s="1">
        <v>1.5065781159991E-3</v>
      </c>
      <c r="UB12" s="1"/>
      <c r="UC12" s="22">
        <v>10307</v>
      </c>
      <c r="UD12" s="1" t="s">
        <v>44</v>
      </c>
      <c r="UE12" s="1">
        <v>2023</v>
      </c>
      <c r="UF12" s="1" t="s">
        <v>24</v>
      </c>
      <c r="UG12" s="1">
        <v>9230.9457174847557</v>
      </c>
      <c r="UH12" s="1">
        <v>7441719.4347760417</v>
      </c>
      <c r="UI12" s="1">
        <v>1.2404318381512001E-3</v>
      </c>
      <c r="UJ12" s="1"/>
      <c r="UK12" s="22">
        <v>11227</v>
      </c>
      <c r="UL12" s="1" t="s">
        <v>38</v>
      </c>
      <c r="UM12" s="1">
        <v>2023</v>
      </c>
      <c r="UN12" s="1" t="s">
        <v>24</v>
      </c>
      <c r="UO12" s="1">
        <v>5398.7009044797151</v>
      </c>
      <c r="UP12" s="1">
        <v>6903943.3587640161</v>
      </c>
      <c r="UQ12" s="1">
        <v>7.8197352207800002E-4</v>
      </c>
      <c r="UR12" s="1"/>
      <c r="US12" s="22">
        <v>12147</v>
      </c>
      <c r="UT12" s="1" t="s">
        <v>31</v>
      </c>
      <c r="UU12" s="1">
        <v>2023</v>
      </c>
      <c r="UV12" s="1" t="s">
        <v>24</v>
      </c>
      <c r="UW12" s="1">
        <v>8008.3665910346981</v>
      </c>
      <c r="UX12" s="1">
        <v>10632926.743356841</v>
      </c>
      <c r="UY12" s="1">
        <v>7.5316672298509995E-4</v>
      </c>
      <c r="UZ12" s="1"/>
      <c r="VA12" s="22">
        <v>13067</v>
      </c>
      <c r="VB12" s="1" t="s">
        <v>51</v>
      </c>
      <c r="VC12" s="1">
        <v>2023</v>
      </c>
      <c r="VD12" s="1" t="s">
        <v>24</v>
      </c>
      <c r="VE12" s="1">
        <v>3655.518283808527</v>
      </c>
      <c r="VF12" s="1">
        <v>5258125.7228930313</v>
      </c>
      <c r="VG12" s="1">
        <v>6.9521317603590002E-4</v>
      </c>
      <c r="VH12" s="1"/>
      <c r="VI12" s="22">
        <v>13987</v>
      </c>
      <c r="VJ12" s="1" t="s">
        <v>57</v>
      </c>
      <c r="VK12" s="1">
        <v>2023</v>
      </c>
      <c r="VL12" s="1" t="s">
        <v>24</v>
      </c>
      <c r="VM12" s="1">
        <v>3735.5311831849731</v>
      </c>
      <c r="VN12" s="1">
        <v>9238375.7834414635</v>
      </c>
      <c r="VO12" s="1">
        <v>4.043493435156E-4</v>
      </c>
      <c r="VP12" s="1"/>
      <c r="VQ12" s="22">
        <v>8513</v>
      </c>
      <c r="VR12" s="1" t="s">
        <v>17</v>
      </c>
      <c r="VS12" s="1">
        <v>2024</v>
      </c>
      <c r="VT12" s="1" t="s">
        <v>24</v>
      </c>
      <c r="VU12" s="1">
        <v>44047.991459702142</v>
      </c>
      <c r="VV12" s="1">
        <v>5123318.5714479852</v>
      </c>
      <c r="VW12" s="1">
        <v>8.5975507564919999E-3</v>
      </c>
      <c r="VX12" s="1"/>
      <c r="VY12" s="22">
        <v>9433</v>
      </c>
      <c r="VZ12" s="1" t="s">
        <v>61</v>
      </c>
      <c r="WA12" s="1">
        <v>2024</v>
      </c>
      <c r="WB12" s="1" t="s">
        <v>24</v>
      </c>
      <c r="WC12" s="1">
        <v>97644.176366125321</v>
      </c>
      <c r="WD12" s="1">
        <v>64811890.820126347</v>
      </c>
      <c r="WE12" s="1">
        <v>1.5065781159991E-3</v>
      </c>
      <c r="WF12" s="1"/>
      <c r="WG12" s="22">
        <v>10353</v>
      </c>
      <c r="WH12" s="1" t="s">
        <v>44</v>
      </c>
      <c r="WI12" s="1">
        <v>2024</v>
      </c>
      <c r="WJ12" s="1" t="s">
        <v>24</v>
      </c>
      <c r="WK12" s="1">
        <v>9981.4226507161966</v>
      </c>
      <c r="WL12" s="1">
        <v>8046732.0684004631</v>
      </c>
      <c r="WM12" s="1">
        <v>1.2404318381512001E-3</v>
      </c>
      <c r="WN12" s="1"/>
      <c r="WO12" s="22">
        <v>11273</v>
      </c>
      <c r="WP12" s="1" t="s">
        <v>38</v>
      </c>
      <c r="WQ12" s="1">
        <v>2024</v>
      </c>
      <c r="WR12" s="1" t="s">
        <v>24</v>
      </c>
      <c r="WS12" s="1">
        <v>5593.7336470370947</v>
      </c>
      <c r="WT12" s="1">
        <v>7153354.2877160665</v>
      </c>
      <c r="WU12" s="1">
        <v>7.8197352207800002E-4</v>
      </c>
      <c r="WV12" s="1"/>
      <c r="WW12" s="22">
        <v>12193</v>
      </c>
      <c r="WX12" s="1" t="s">
        <v>31</v>
      </c>
      <c r="WY12" s="1">
        <v>2024</v>
      </c>
      <c r="WZ12" s="1" t="s">
        <v>24</v>
      </c>
      <c r="XA12" s="1">
        <v>8245.8907414455934</v>
      </c>
      <c r="XB12" s="1">
        <v>10948294.03609846</v>
      </c>
      <c r="XC12" s="1">
        <v>7.5316672298509995E-4</v>
      </c>
      <c r="XD12" s="1"/>
      <c r="XE12" s="22">
        <v>13113</v>
      </c>
      <c r="XF12" s="1" t="s">
        <v>51</v>
      </c>
      <c r="XG12" s="1">
        <v>2024</v>
      </c>
      <c r="XH12" s="1" t="s">
        <v>24</v>
      </c>
      <c r="XI12" s="1">
        <v>3763.6320758273018</v>
      </c>
      <c r="XJ12" s="1">
        <v>5413637.436055948</v>
      </c>
      <c r="XK12" s="1">
        <v>6.9521317603590002E-4</v>
      </c>
      <c r="XL12" s="1"/>
      <c r="XM12" s="22">
        <v>14033</v>
      </c>
      <c r="XN12" s="1" t="s">
        <v>57</v>
      </c>
      <c r="XO12" s="1">
        <v>2024</v>
      </c>
      <c r="XP12" s="1" t="s">
        <v>24</v>
      </c>
      <c r="XQ12" s="1">
        <v>3569.7664715763121</v>
      </c>
      <c r="XR12" s="1">
        <v>8828421.583522588</v>
      </c>
      <c r="XS12" s="1">
        <v>4.043493435156E-4</v>
      </c>
      <c r="XT12" s="1"/>
    </row>
    <row r="13" spans="1:644" x14ac:dyDescent="0.25">
      <c r="A13" s="2">
        <v>4</v>
      </c>
      <c r="B13" s="1" t="s">
        <v>17</v>
      </c>
      <c r="C13" s="1" t="s">
        <v>26</v>
      </c>
      <c r="D13" s="1">
        <v>7.5070649405085191E-3</v>
      </c>
      <c r="E13" s="1">
        <v>5.5393414447579992E-3</v>
      </c>
      <c r="F13" s="1">
        <v>4.1791507610858328E-3</v>
      </c>
      <c r="G13" s="1">
        <v>4.5500009342062091E-3</v>
      </c>
      <c r="H13" s="1">
        <v>4.7083814635517232E-3</v>
      </c>
      <c r="I13" s="1">
        <v>4.5335051859163138E-3</v>
      </c>
      <c r="J13" s="1">
        <v>4.1301249754178114E-3</v>
      </c>
      <c r="K13" s="1">
        <v>4.1301249754178079E-3</v>
      </c>
      <c r="L13" s="1">
        <v>4.1301249754178079E-3</v>
      </c>
      <c r="M13" s="1">
        <v>4.1301249754178088E-3</v>
      </c>
      <c r="N13" s="1">
        <v>4.1301249754178088E-3</v>
      </c>
      <c r="O13" s="1">
        <v>4.6970972370105127E-3</v>
      </c>
      <c r="P13" s="1"/>
      <c r="Q13" s="2">
        <v>35</v>
      </c>
      <c r="R13" s="1" t="s">
        <v>17</v>
      </c>
      <c r="S13" s="1" t="s">
        <v>27</v>
      </c>
      <c r="T13" s="1">
        <v>1.4677746366044809E-2</v>
      </c>
      <c r="U13" s="1"/>
      <c r="V13" s="2" t="s">
        <v>51</v>
      </c>
      <c r="W13" s="19">
        <v>9.7999362111330941E-3</v>
      </c>
      <c r="X13" s="16">
        <v>5.7610793323746743E-3</v>
      </c>
      <c r="Y13" s="18">
        <v>6.6635089137192349E-2</v>
      </c>
      <c r="Z13" s="17">
        <v>8.9990631053502981E-2</v>
      </c>
      <c r="AA13" s="1">
        <f t="shared" si="0"/>
        <v>0.17218673573420309</v>
      </c>
      <c r="AC13" s="22">
        <v>878</v>
      </c>
      <c r="AD13" s="1" t="s">
        <v>17</v>
      </c>
      <c r="AE13" s="1">
        <v>2014</v>
      </c>
      <c r="AF13" s="1" t="s">
        <v>26</v>
      </c>
      <c r="AG13" s="1">
        <v>30690.5</v>
      </c>
      <c r="AH13" s="1">
        <v>4088215.6</v>
      </c>
      <c r="AI13" s="1">
        <v>7.5070649405085E-3</v>
      </c>
      <c r="AJ13" s="1"/>
      <c r="AK13" s="22">
        <v>2074</v>
      </c>
      <c r="AL13" s="1" t="s">
        <v>61</v>
      </c>
      <c r="AM13" s="1">
        <v>2014</v>
      </c>
      <c r="AN13" s="1" t="s">
        <v>26</v>
      </c>
      <c r="AO13" s="1">
        <v>152191.6</v>
      </c>
      <c r="AP13" s="1">
        <v>40350049.200000003</v>
      </c>
      <c r="AQ13" s="1">
        <v>3.7717822658813E-3</v>
      </c>
      <c r="AR13" s="1"/>
      <c r="AS13" s="22">
        <v>3270</v>
      </c>
      <c r="AT13" s="1" t="s">
        <v>44</v>
      </c>
      <c r="AU13" s="1">
        <v>2014</v>
      </c>
      <c r="AV13" s="1" t="s">
        <v>26</v>
      </c>
      <c r="AW13" s="1">
        <v>12367.3</v>
      </c>
      <c r="AX13" s="1">
        <v>6735816.8000000007</v>
      </c>
      <c r="AY13" s="1">
        <v>1.8360505291652E-3</v>
      </c>
      <c r="AZ13" s="1"/>
      <c r="BA13" s="22">
        <v>4466</v>
      </c>
      <c r="BB13" s="1" t="s">
        <v>38</v>
      </c>
      <c r="BC13" s="1">
        <v>2014</v>
      </c>
      <c r="BD13" s="1" t="s">
        <v>26</v>
      </c>
      <c r="BE13" s="1">
        <v>214.2</v>
      </c>
      <c r="BF13" s="1">
        <v>6538596.7000000002</v>
      </c>
      <c r="BG13" s="1">
        <v>3.2759322806987008E-5</v>
      </c>
      <c r="BH13" s="1"/>
      <c r="BI13" s="22">
        <v>5662</v>
      </c>
      <c r="BJ13" s="1" t="s">
        <v>31</v>
      </c>
      <c r="BK13" s="1">
        <v>2014</v>
      </c>
      <c r="BL13" s="1" t="s">
        <v>26</v>
      </c>
      <c r="BM13" s="1">
        <v>705.5</v>
      </c>
      <c r="BN13" s="1">
        <v>9155477.5</v>
      </c>
      <c r="BO13" s="1">
        <v>7.7057695789214714E-5</v>
      </c>
      <c r="BP13" s="1"/>
      <c r="BQ13" s="22">
        <v>6858</v>
      </c>
      <c r="BR13" s="1" t="s">
        <v>51</v>
      </c>
      <c r="BS13" s="1">
        <v>2014</v>
      </c>
      <c r="BT13" s="1" t="s">
        <v>26</v>
      </c>
      <c r="BU13" s="1">
        <v>644.6</v>
      </c>
      <c r="BV13" s="1">
        <v>4981875.5</v>
      </c>
      <c r="BW13" s="1">
        <v>1.2938902226679999E-4</v>
      </c>
      <c r="BX13" s="1"/>
      <c r="BY13" s="22">
        <v>8054</v>
      </c>
      <c r="BZ13" s="1" t="s">
        <v>57</v>
      </c>
      <c r="CA13" s="1">
        <v>2014</v>
      </c>
      <c r="CB13" s="1" t="s">
        <v>26</v>
      </c>
      <c r="CC13" s="1">
        <v>1713.2</v>
      </c>
      <c r="CD13" s="1">
        <v>11026913.800000001</v>
      </c>
      <c r="CE13" s="1">
        <v>1.5536532080260001E-4</v>
      </c>
      <c r="CF13" s="1"/>
      <c r="CG13" s="22">
        <v>924</v>
      </c>
      <c r="CH13" s="1" t="s">
        <v>17</v>
      </c>
      <c r="CI13" s="1">
        <v>2015</v>
      </c>
      <c r="CJ13" s="1" t="s">
        <v>26</v>
      </c>
      <c r="CK13" s="1">
        <v>19693.099999999999</v>
      </c>
      <c r="CL13" s="1">
        <v>3555133.8</v>
      </c>
      <c r="CM13" s="1">
        <v>5.5393414447579004E-3</v>
      </c>
      <c r="CN13" s="1"/>
      <c r="CO13" s="22">
        <v>2120</v>
      </c>
      <c r="CP13" s="1" t="s">
        <v>61</v>
      </c>
      <c r="CQ13" s="1">
        <v>2015</v>
      </c>
      <c r="CR13" s="1" t="s">
        <v>26</v>
      </c>
      <c r="CS13" s="1">
        <v>120471.4</v>
      </c>
      <c r="CT13" s="1">
        <v>41208556.399999999</v>
      </c>
      <c r="CU13" s="1">
        <v>2.9234559645967E-3</v>
      </c>
      <c r="CV13" s="1"/>
      <c r="CW13" s="22">
        <v>3316</v>
      </c>
      <c r="CX13" s="1" t="s">
        <v>44</v>
      </c>
      <c r="CY13" s="1">
        <v>2015</v>
      </c>
      <c r="CZ13" s="1" t="s">
        <v>26</v>
      </c>
      <c r="DA13" s="1">
        <v>10599.9</v>
      </c>
      <c r="DB13" s="1">
        <v>6404349.4000000004</v>
      </c>
      <c r="DC13" s="1">
        <v>1.6551095728787001E-3</v>
      </c>
      <c r="DD13" s="1"/>
      <c r="DE13" s="22">
        <v>4512</v>
      </c>
      <c r="DF13" s="1" t="s">
        <v>38</v>
      </c>
      <c r="DG13" s="1">
        <v>2015</v>
      </c>
      <c r="DH13" s="1" t="s">
        <v>26</v>
      </c>
      <c r="DI13" s="1">
        <v>96.2</v>
      </c>
      <c r="DJ13" s="1">
        <v>5531517.5999999996</v>
      </c>
      <c r="DK13" s="1">
        <v>1.7391249012748332E-5</v>
      </c>
      <c r="DL13" s="1"/>
      <c r="DM13" s="22">
        <v>5708</v>
      </c>
      <c r="DN13" s="1" t="s">
        <v>31</v>
      </c>
      <c r="DO13" s="1">
        <v>2015</v>
      </c>
      <c r="DP13" s="1" t="s">
        <v>26</v>
      </c>
      <c r="DQ13" s="1">
        <v>442.5</v>
      </c>
      <c r="DR13" s="1">
        <v>7894528</v>
      </c>
      <c r="DS13" s="1">
        <v>5.6051482748556972E-5</v>
      </c>
      <c r="DT13" s="1"/>
      <c r="DU13" s="22">
        <v>6904</v>
      </c>
      <c r="DV13" s="1" t="s">
        <v>51</v>
      </c>
      <c r="DW13" s="1">
        <v>2015</v>
      </c>
      <c r="DX13" s="1" t="s">
        <v>26</v>
      </c>
      <c r="DY13" s="1">
        <v>706</v>
      </c>
      <c r="DZ13" s="1">
        <v>4209274.5999999996</v>
      </c>
      <c r="EA13" s="1">
        <v>1.677248616661E-4</v>
      </c>
      <c r="EB13" s="1"/>
      <c r="EC13" s="22">
        <v>8100</v>
      </c>
      <c r="ED13" s="1" t="s">
        <v>57</v>
      </c>
      <c r="EE13" s="1">
        <v>2015</v>
      </c>
      <c r="EF13" s="1" t="s">
        <v>26</v>
      </c>
      <c r="EG13" s="1">
        <v>1425</v>
      </c>
      <c r="EH13" s="1">
        <v>9729477.0999999996</v>
      </c>
      <c r="EI13" s="1">
        <v>1.4646213618200001E-4</v>
      </c>
      <c r="EJ13" s="1"/>
      <c r="EK13" s="22">
        <v>970</v>
      </c>
      <c r="EL13" s="1" t="s">
        <v>17</v>
      </c>
      <c r="EM13" s="1">
        <v>2016</v>
      </c>
      <c r="EN13" s="1" t="s">
        <v>26</v>
      </c>
      <c r="EO13" s="1">
        <v>14474.1</v>
      </c>
      <c r="EP13" s="1">
        <v>3463407</v>
      </c>
      <c r="EQ13" s="1">
        <v>4.1791507610857998E-3</v>
      </c>
      <c r="ER13" s="1"/>
      <c r="ES13" s="22">
        <v>2166</v>
      </c>
      <c r="ET13" s="1" t="s">
        <v>61</v>
      </c>
      <c r="EU13" s="1">
        <v>2016</v>
      </c>
      <c r="EV13" s="1" t="s">
        <v>26</v>
      </c>
      <c r="EW13" s="1">
        <v>61581.5</v>
      </c>
      <c r="EX13" s="1">
        <v>42141395.200000003</v>
      </c>
      <c r="EY13" s="1">
        <v>1.4613066251778E-3</v>
      </c>
      <c r="EZ13" s="1"/>
      <c r="FA13" s="22">
        <v>3362</v>
      </c>
      <c r="FB13" s="1" t="s">
        <v>44</v>
      </c>
      <c r="FC13" s="1">
        <v>2016</v>
      </c>
      <c r="FD13" s="1" t="s">
        <v>26</v>
      </c>
      <c r="FE13" s="1">
        <v>6964.3</v>
      </c>
      <c r="FF13" s="1">
        <v>5868597.7999999998</v>
      </c>
      <c r="FG13" s="1">
        <v>1.1867059623680001E-3</v>
      </c>
      <c r="FH13" s="1"/>
      <c r="FI13" s="22">
        <v>4558</v>
      </c>
      <c r="FJ13" s="1" t="s">
        <v>38</v>
      </c>
      <c r="FK13" s="1">
        <v>2016</v>
      </c>
      <c r="FL13" s="1" t="s">
        <v>26</v>
      </c>
      <c r="FM13" s="1">
        <v>138.5</v>
      </c>
      <c r="FN13" s="1">
        <v>5582986.5</v>
      </c>
      <c r="FO13" s="1">
        <v>2.48075111770376E-5</v>
      </c>
      <c r="FP13" s="1"/>
      <c r="FQ13" s="22">
        <v>5754</v>
      </c>
      <c r="FR13" s="1" t="s">
        <v>31</v>
      </c>
      <c r="FS13" s="1">
        <v>2016</v>
      </c>
      <c r="FT13" s="1" t="s">
        <v>26</v>
      </c>
      <c r="FU13" s="1">
        <v>401.1</v>
      </c>
      <c r="FV13" s="1">
        <v>8130820.9000000004</v>
      </c>
      <c r="FW13" s="1">
        <v>4.933081234146973E-5</v>
      </c>
      <c r="FX13" s="1"/>
      <c r="FY13" s="22">
        <v>6950</v>
      </c>
      <c r="FZ13" s="1" t="s">
        <v>51</v>
      </c>
      <c r="GA13" s="1">
        <v>2016</v>
      </c>
      <c r="GB13" s="1" t="s">
        <v>26</v>
      </c>
      <c r="GC13" s="1">
        <v>715.2</v>
      </c>
      <c r="GD13" s="1">
        <v>4230502.5999999996</v>
      </c>
      <c r="GE13" s="1">
        <v>1.6905792706519999E-4</v>
      </c>
      <c r="GF13" s="1"/>
      <c r="GG13" s="22">
        <v>8146</v>
      </c>
      <c r="GH13" s="1" t="s">
        <v>57</v>
      </c>
      <c r="GI13" s="1">
        <v>2016</v>
      </c>
      <c r="GJ13" s="1" t="s">
        <v>26</v>
      </c>
      <c r="GK13" s="1">
        <v>1494.8</v>
      </c>
      <c r="GL13" s="1">
        <v>10773649.5</v>
      </c>
      <c r="GM13" s="1">
        <v>1.3874592820190001E-4</v>
      </c>
      <c r="GN13" s="1"/>
      <c r="GO13" s="22">
        <v>1016</v>
      </c>
      <c r="GP13" s="1" t="s">
        <v>17</v>
      </c>
      <c r="GQ13" s="1">
        <v>2017</v>
      </c>
      <c r="GR13" s="1" t="s">
        <v>26</v>
      </c>
      <c r="GS13" s="1">
        <v>16924.8</v>
      </c>
      <c r="GT13" s="1">
        <v>3719735.5</v>
      </c>
      <c r="GU13" s="1">
        <v>4.5500009342061996E-3</v>
      </c>
      <c r="GV13" s="1"/>
      <c r="GW13" s="22">
        <v>2212</v>
      </c>
      <c r="GX13" s="1" t="s">
        <v>61</v>
      </c>
      <c r="GY13" s="1">
        <v>2017</v>
      </c>
      <c r="GZ13" s="1" t="s">
        <v>26</v>
      </c>
      <c r="HA13" s="1">
        <v>87448.1</v>
      </c>
      <c r="HB13" s="1">
        <v>44107004.100000001</v>
      </c>
      <c r="HC13" s="1">
        <v>1.9826352250480002E-3</v>
      </c>
      <c r="HD13" s="1"/>
      <c r="HE13" s="22">
        <v>3408</v>
      </c>
      <c r="HF13" s="1" t="s">
        <v>44</v>
      </c>
      <c r="HG13" s="1">
        <v>2017</v>
      </c>
      <c r="HH13" s="1" t="s">
        <v>26</v>
      </c>
      <c r="HI13" s="1">
        <v>6323.2</v>
      </c>
      <c r="HJ13" s="1">
        <v>5855367.5</v>
      </c>
      <c r="HK13" s="1">
        <v>1.0798980593445999E-3</v>
      </c>
      <c r="HL13" s="1"/>
      <c r="HM13" s="22">
        <v>4604</v>
      </c>
      <c r="HN13" s="1" t="s">
        <v>38</v>
      </c>
      <c r="HO13" s="1">
        <v>2017</v>
      </c>
      <c r="HP13" s="1" t="s">
        <v>26</v>
      </c>
      <c r="HQ13" s="1">
        <v>184.7</v>
      </c>
      <c r="HR13" s="1">
        <v>5923445.7000000002</v>
      </c>
      <c r="HS13" s="1">
        <v>3.1181175510733563E-5</v>
      </c>
      <c r="HT13" s="1"/>
      <c r="HU13" s="22">
        <v>5800</v>
      </c>
      <c r="HV13" s="1" t="s">
        <v>31</v>
      </c>
      <c r="HW13" s="1">
        <v>2017</v>
      </c>
      <c r="HX13" s="1" t="s">
        <v>26</v>
      </c>
      <c r="HY13" s="1">
        <v>352.8</v>
      </c>
      <c r="HZ13" s="1">
        <v>8686095.3000000007</v>
      </c>
      <c r="IA13" s="1">
        <v>4.0616639331599318E-5</v>
      </c>
      <c r="IB13" s="1"/>
      <c r="IC13" s="22">
        <v>6996</v>
      </c>
      <c r="ID13" s="1" t="s">
        <v>51</v>
      </c>
      <c r="IE13" s="1">
        <v>2017</v>
      </c>
      <c r="IF13" s="1" t="s">
        <v>26</v>
      </c>
      <c r="IG13" s="1">
        <v>1025.8</v>
      </c>
      <c r="IH13" s="1">
        <v>4472691.8</v>
      </c>
      <c r="II13" s="1">
        <v>2.2934734738479999E-4</v>
      </c>
      <c r="IJ13" s="1"/>
      <c r="IK13" s="22">
        <v>8192</v>
      </c>
      <c r="IL13" s="1" t="s">
        <v>57</v>
      </c>
      <c r="IM13" s="1">
        <v>2017</v>
      </c>
      <c r="IN13" s="1" t="s">
        <v>26</v>
      </c>
      <c r="IO13" s="1">
        <v>1488.1</v>
      </c>
      <c r="IP13" s="1">
        <v>10750260.5</v>
      </c>
      <c r="IQ13" s="1">
        <v>1.3842455259569999E-4</v>
      </c>
      <c r="IR13" s="1"/>
      <c r="IS13" s="22">
        <v>1062</v>
      </c>
      <c r="IT13" s="1" t="s">
        <v>17</v>
      </c>
      <c r="IU13" s="1">
        <v>2018</v>
      </c>
      <c r="IV13" s="1" t="s">
        <v>26</v>
      </c>
      <c r="IW13" s="1">
        <v>18382.3</v>
      </c>
      <c r="IX13" s="1">
        <v>3904165.4</v>
      </c>
      <c r="IY13" s="1">
        <v>4.7083814635516998E-3</v>
      </c>
      <c r="IZ13" s="1"/>
      <c r="JA13" s="22">
        <v>2258</v>
      </c>
      <c r="JB13" s="1" t="s">
        <v>61</v>
      </c>
      <c r="JC13" s="1">
        <v>2018</v>
      </c>
      <c r="JD13" s="1" t="s">
        <v>26</v>
      </c>
      <c r="JE13" s="1">
        <v>105359.9</v>
      </c>
      <c r="JF13" s="1">
        <v>46669099.200000003</v>
      </c>
      <c r="JG13" s="1">
        <v>2.2575944641330999E-3</v>
      </c>
      <c r="JH13" s="1"/>
      <c r="JI13" s="22">
        <v>3454</v>
      </c>
      <c r="JJ13" s="1" t="s">
        <v>44</v>
      </c>
      <c r="JK13" s="1">
        <v>2018</v>
      </c>
      <c r="JL13" s="1" t="s">
        <v>26</v>
      </c>
      <c r="JM13" s="1">
        <v>6653.5</v>
      </c>
      <c r="JN13" s="1">
        <v>6336724.7000000002</v>
      </c>
      <c r="JO13" s="1">
        <v>1.0499903838334E-3</v>
      </c>
      <c r="JP13" s="1"/>
      <c r="JQ13" s="22">
        <v>4650</v>
      </c>
      <c r="JR13" s="1" t="s">
        <v>38</v>
      </c>
      <c r="JS13" s="1">
        <v>2018</v>
      </c>
      <c r="JT13" s="1" t="s">
        <v>26</v>
      </c>
      <c r="JU13" s="1">
        <v>227</v>
      </c>
      <c r="JV13" s="1">
        <v>6390706</v>
      </c>
      <c r="JW13" s="1">
        <v>3.5520332182391117E-5</v>
      </c>
      <c r="JX13" s="1"/>
      <c r="JY13" s="22">
        <v>5846</v>
      </c>
      <c r="JZ13" s="1" t="s">
        <v>31</v>
      </c>
      <c r="KA13" s="1">
        <v>2018</v>
      </c>
      <c r="KB13" s="1" t="s">
        <v>26</v>
      </c>
      <c r="KC13" s="1">
        <v>292.60000000000002</v>
      </c>
      <c r="KD13" s="1">
        <v>9443218.3000000007</v>
      </c>
      <c r="KE13" s="1">
        <v>3.0985199187865863E-5</v>
      </c>
      <c r="KF13" s="1"/>
      <c r="KG13" s="22">
        <v>7042</v>
      </c>
      <c r="KH13" s="1" t="s">
        <v>51</v>
      </c>
      <c r="KI13" s="1">
        <v>2018</v>
      </c>
      <c r="KJ13" s="1" t="s">
        <v>26</v>
      </c>
      <c r="KK13" s="1">
        <v>576.70000000000005</v>
      </c>
      <c r="KL13" s="1">
        <v>4803387.8</v>
      </c>
      <c r="KM13" s="1">
        <v>1.2006109521279999E-4</v>
      </c>
      <c r="KN13" s="1"/>
      <c r="KO13" s="22">
        <v>8238</v>
      </c>
      <c r="KP13" s="1" t="s">
        <v>57</v>
      </c>
      <c r="KQ13" s="1">
        <v>2018</v>
      </c>
      <c r="KR13" s="1" t="s">
        <v>26</v>
      </c>
      <c r="KS13" s="1">
        <v>1538.9</v>
      </c>
      <c r="KT13" s="1">
        <v>11172914.4</v>
      </c>
      <c r="KU13" s="1">
        <v>1.3773487783990001E-4</v>
      </c>
      <c r="KV13" s="1"/>
      <c r="KW13" s="22">
        <v>1108</v>
      </c>
      <c r="KX13" s="1" t="s">
        <v>17</v>
      </c>
      <c r="KY13" s="1">
        <v>2019</v>
      </c>
      <c r="KZ13" s="1" t="s">
        <v>26</v>
      </c>
      <c r="LA13" s="1">
        <v>17931.5</v>
      </c>
      <c r="LB13" s="1">
        <v>3955328</v>
      </c>
      <c r="LC13" s="1">
        <v>4.5335051859162999E-3</v>
      </c>
      <c r="LD13" s="1"/>
      <c r="LE13" s="22">
        <v>2304</v>
      </c>
      <c r="LF13" s="1" t="s">
        <v>61</v>
      </c>
      <c r="LG13" s="1">
        <v>2019</v>
      </c>
      <c r="LH13" s="1" t="s">
        <v>26</v>
      </c>
      <c r="LI13" s="1">
        <v>107220.9</v>
      </c>
      <c r="LJ13" s="1">
        <v>48356774.5</v>
      </c>
      <c r="LK13" s="1">
        <v>2.2172880864912998E-3</v>
      </c>
      <c r="LL13" s="1"/>
      <c r="LM13" s="22">
        <v>3500</v>
      </c>
      <c r="LN13" s="1" t="s">
        <v>44</v>
      </c>
      <c r="LO13" s="1">
        <v>2019</v>
      </c>
      <c r="LP13" s="1" t="s">
        <v>26</v>
      </c>
      <c r="LQ13" s="1">
        <v>6767.5</v>
      </c>
      <c r="LR13" s="1">
        <v>6269787.0999999996</v>
      </c>
      <c r="LS13" s="1">
        <v>1.0793827433151001E-3</v>
      </c>
      <c r="LT13" s="1"/>
      <c r="LU13" s="22">
        <v>4696</v>
      </c>
      <c r="LV13" s="1" t="s">
        <v>38</v>
      </c>
      <c r="LW13" s="1">
        <v>2019</v>
      </c>
      <c r="LX13" s="1" t="s">
        <v>26</v>
      </c>
      <c r="LY13" s="1">
        <v>191</v>
      </c>
      <c r="LZ13" s="1">
        <v>6182094.5</v>
      </c>
      <c r="MA13" s="1">
        <v>3.0895677832165127E-5</v>
      </c>
      <c r="MB13" s="1"/>
      <c r="MC13" s="22">
        <v>5892</v>
      </c>
      <c r="MD13" s="1" t="s">
        <v>31</v>
      </c>
      <c r="ME13" s="1">
        <v>2019</v>
      </c>
      <c r="MF13" s="1" t="s">
        <v>26</v>
      </c>
      <c r="MG13" s="1">
        <v>291.10000000000002</v>
      </c>
      <c r="MH13" s="1">
        <v>9237079</v>
      </c>
      <c r="MI13" s="1">
        <v>3.1514291476775289E-5</v>
      </c>
      <c r="MJ13" s="1"/>
      <c r="MK13" s="22">
        <v>7088</v>
      </c>
      <c r="ML13" s="1" t="s">
        <v>51</v>
      </c>
      <c r="MM13" s="1">
        <v>2019</v>
      </c>
      <c r="MN13" s="1" t="s">
        <v>26</v>
      </c>
      <c r="MO13" s="1">
        <v>580.70000000000005</v>
      </c>
      <c r="MP13" s="1">
        <v>4608662</v>
      </c>
      <c r="MQ13" s="1">
        <v>1.2600186344750001E-4</v>
      </c>
      <c r="MR13" s="1"/>
      <c r="MS13" s="22">
        <v>8284</v>
      </c>
      <c r="MT13" s="1" t="s">
        <v>57</v>
      </c>
      <c r="MU13" s="1">
        <v>2019</v>
      </c>
      <c r="MV13" s="1" t="s">
        <v>26</v>
      </c>
      <c r="MW13" s="1">
        <v>1514.6</v>
      </c>
      <c r="MX13" s="1">
        <v>11338077</v>
      </c>
      <c r="MY13" s="1">
        <v>1.3358526317989999E-4</v>
      </c>
      <c r="MZ13" s="1"/>
      <c r="NA13" s="22">
        <v>1154</v>
      </c>
      <c r="NB13" s="1" t="s">
        <v>17</v>
      </c>
      <c r="NC13" s="1">
        <v>2020</v>
      </c>
      <c r="ND13" s="1" t="s">
        <v>26</v>
      </c>
      <c r="NE13" s="1">
        <v>15631.5</v>
      </c>
      <c r="NF13" s="1">
        <v>3784752.3</v>
      </c>
      <c r="NG13" s="1">
        <v>4.1301249754178001E-3</v>
      </c>
      <c r="NH13" s="1"/>
      <c r="NI13" s="22">
        <v>2350</v>
      </c>
      <c r="NJ13" s="1" t="s">
        <v>61</v>
      </c>
      <c r="NK13" s="1">
        <v>2020</v>
      </c>
      <c r="NL13" s="1" t="s">
        <v>26</v>
      </c>
      <c r="NM13" s="1">
        <v>62584.6</v>
      </c>
      <c r="NN13" s="1">
        <v>47421769.399999999</v>
      </c>
      <c r="NO13" s="1">
        <v>1.3197440920456E-3</v>
      </c>
      <c r="NP13" s="1"/>
      <c r="NQ13" s="22">
        <v>3546</v>
      </c>
      <c r="NR13" s="1" t="s">
        <v>44</v>
      </c>
      <c r="NS13" s="1">
        <v>2020</v>
      </c>
      <c r="NT13" s="1" t="s">
        <v>26</v>
      </c>
      <c r="NU13" s="1">
        <v>5620.5</v>
      </c>
      <c r="NV13" s="1">
        <v>5955345.3666666672</v>
      </c>
      <c r="NW13" s="1">
        <v>9.4377398017229995E-4</v>
      </c>
      <c r="NX13" s="1"/>
      <c r="NY13" s="22">
        <v>4742</v>
      </c>
      <c r="NZ13" s="1" t="s">
        <v>38</v>
      </c>
      <c r="OA13" s="1">
        <v>2020</v>
      </c>
      <c r="OB13" s="1" t="s">
        <v>26</v>
      </c>
      <c r="OC13" s="1">
        <v>164.9</v>
      </c>
      <c r="OD13" s="1">
        <v>5990228.4000000004</v>
      </c>
      <c r="OE13" s="1">
        <v>2.752816570399886E-5</v>
      </c>
      <c r="OF13" s="1"/>
      <c r="OG13" s="22">
        <v>5938</v>
      </c>
      <c r="OH13" s="1" t="s">
        <v>31</v>
      </c>
      <c r="OI13" s="1">
        <v>2020</v>
      </c>
      <c r="OJ13" s="1" t="s">
        <v>26</v>
      </c>
      <c r="OK13" s="1">
        <v>286.3</v>
      </c>
      <c r="OL13" s="1">
        <v>9257180.0999999996</v>
      </c>
      <c r="OM13" s="1">
        <v>3.0927344710512871E-5</v>
      </c>
      <c r="ON13" s="1"/>
      <c r="OO13" s="22">
        <v>7134</v>
      </c>
      <c r="OP13" s="1" t="s">
        <v>51</v>
      </c>
      <c r="OQ13" s="1">
        <v>2020</v>
      </c>
      <c r="OR13" s="1" t="s">
        <v>26</v>
      </c>
      <c r="OS13" s="1">
        <v>392.8</v>
      </c>
      <c r="OT13" s="1">
        <v>4352046.4000000004</v>
      </c>
      <c r="OU13" s="1">
        <v>9.0256390648776156E-5</v>
      </c>
      <c r="OV13" s="1"/>
      <c r="OW13" s="22">
        <v>8330</v>
      </c>
      <c r="OX13" s="1" t="s">
        <v>57</v>
      </c>
      <c r="OY13" s="1">
        <v>2020</v>
      </c>
      <c r="OZ13" s="1" t="s">
        <v>26</v>
      </c>
      <c r="PA13" s="1">
        <v>1579.9</v>
      </c>
      <c r="PB13" s="1">
        <v>11082248.733333331</v>
      </c>
      <c r="PC13" s="1">
        <v>1.4256131927879999E-4</v>
      </c>
      <c r="PD13" s="1"/>
      <c r="PE13" s="22">
        <v>8376</v>
      </c>
      <c r="PF13" s="1" t="s">
        <v>17</v>
      </c>
      <c r="PG13" s="1">
        <v>2021</v>
      </c>
      <c r="PH13" s="1" t="s">
        <v>26</v>
      </c>
      <c r="PI13" s="1">
        <v>19093.56455957668</v>
      </c>
      <c r="PJ13" s="1">
        <v>4622999.2247741111</v>
      </c>
      <c r="PK13" s="1">
        <v>4.1301249754178001E-3</v>
      </c>
      <c r="PL13" s="1"/>
      <c r="PM13" s="22">
        <v>9296</v>
      </c>
      <c r="PN13" s="1" t="s">
        <v>61</v>
      </c>
      <c r="PO13" s="1">
        <v>2021</v>
      </c>
      <c r="PP13" s="1" t="s">
        <v>26</v>
      </c>
      <c r="PQ13" s="1">
        <v>69404.865085392128</v>
      </c>
      <c r="PR13" s="1">
        <v>52589638.782026872</v>
      </c>
      <c r="PS13" s="1">
        <v>1.3197440920456E-3</v>
      </c>
      <c r="PT13" s="1"/>
      <c r="PU13" s="22">
        <v>10216</v>
      </c>
      <c r="PV13" s="1" t="s">
        <v>44</v>
      </c>
      <c r="PW13" s="1">
        <v>2021</v>
      </c>
      <c r="PX13" s="1" t="s">
        <v>26</v>
      </c>
      <c r="PY13" s="1">
        <v>6551.1573283689986</v>
      </c>
      <c r="PZ13" s="1">
        <v>6941447.2808129201</v>
      </c>
      <c r="QA13" s="1">
        <v>9.4377398017229995E-4</v>
      </c>
      <c r="QB13" s="1"/>
      <c r="QC13" s="22">
        <v>11136</v>
      </c>
      <c r="QD13" s="1" t="s">
        <v>38</v>
      </c>
      <c r="QE13" s="1">
        <v>2021</v>
      </c>
      <c r="QF13" s="1" t="s">
        <v>26</v>
      </c>
      <c r="QG13" s="1">
        <v>184.7346066550098</v>
      </c>
      <c r="QH13" s="1">
        <v>6710748.8614170318</v>
      </c>
      <c r="QI13" s="1">
        <v>2.752816570399886E-5</v>
      </c>
      <c r="QJ13" s="1"/>
      <c r="QK13" s="22">
        <v>12056</v>
      </c>
      <c r="QL13" s="1" t="s">
        <v>31</v>
      </c>
      <c r="QM13" s="1">
        <v>2021</v>
      </c>
      <c r="QN13" s="1" t="s">
        <v>26</v>
      </c>
      <c r="QO13" s="1">
        <v>315.95788220723131</v>
      </c>
      <c r="QP13" s="1">
        <v>10216133.49495957</v>
      </c>
      <c r="QQ13" s="1">
        <v>3.0927344710512871E-5</v>
      </c>
      <c r="QR13" s="1"/>
      <c r="QS13" s="22">
        <v>12976</v>
      </c>
      <c r="QT13" s="1" t="s">
        <v>51</v>
      </c>
      <c r="QU13" s="1">
        <v>2021</v>
      </c>
      <c r="QV13" s="1" t="s">
        <v>26</v>
      </c>
      <c r="QW13" s="1">
        <v>448.75631094428252</v>
      </c>
      <c r="QX13" s="1">
        <v>4972017.0252605537</v>
      </c>
      <c r="QY13" s="1">
        <v>9.0256390648776156E-5</v>
      </c>
      <c r="QZ13" s="1"/>
      <c r="RA13" s="22">
        <v>13896</v>
      </c>
      <c r="RB13" s="1" t="s">
        <v>57</v>
      </c>
      <c r="RC13" s="1">
        <v>2021</v>
      </c>
      <c r="RD13" s="1" t="s">
        <v>26</v>
      </c>
      <c r="RE13" s="1">
        <v>1575.2360147364491</v>
      </c>
      <c r="RF13" s="1">
        <v>11049533.09007922</v>
      </c>
      <c r="RG13" s="1">
        <v>1.4256131927879999E-4</v>
      </c>
      <c r="RH13" s="1"/>
      <c r="RI13" s="22">
        <v>8422</v>
      </c>
      <c r="RJ13" s="1" t="s">
        <v>17</v>
      </c>
      <c r="RK13" s="1">
        <v>2022</v>
      </c>
      <c r="RL13" s="1" t="s">
        <v>26</v>
      </c>
      <c r="RM13" s="1">
        <v>20679.958636330641</v>
      </c>
      <c r="RN13" s="1">
        <v>5007102.3902221443</v>
      </c>
      <c r="RO13" s="1">
        <v>4.1301249754178001E-3</v>
      </c>
      <c r="RP13" s="1"/>
      <c r="RQ13" s="22">
        <v>9342</v>
      </c>
      <c r="RR13" s="1" t="s">
        <v>61</v>
      </c>
      <c r="RS13" s="1">
        <v>2022</v>
      </c>
      <c r="RT13" s="1" t="s">
        <v>26</v>
      </c>
      <c r="RU13" s="1">
        <v>76221.027050541554</v>
      </c>
      <c r="RV13" s="1">
        <v>57754399.13688051</v>
      </c>
      <c r="RW13" s="1">
        <v>1.3197440920456E-3</v>
      </c>
      <c r="RX13" s="1"/>
      <c r="RY13" s="22">
        <v>10262</v>
      </c>
      <c r="RZ13" s="1" t="s">
        <v>44</v>
      </c>
      <c r="SA13" s="1">
        <v>2022</v>
      </c>
      <c r="SB13" s="1" t="s">
        <v>26</v>
      </c>
      <c r="SC13" s="1">
        <v>6490.1333516263676</v>
      </c>
      <c r="SD13" s="1">
        <v>6876787.7563667288</v>
      </c>
      <c r="SE13" s="1">
        <v>9.4377398017229995E-4</v>
      </c>
      <c r="SF13" s="1"/>
      <c r="SG13" s="22">
        <v>11182</v>
      </c>
      <c r="SH13" s="1" t="s">
        <v>38</v>
      </c>
      <c r="SI13" s="1">
        <v>2022</v>
      </c>
      <c r="SJ13" s="1" t="s">
        <v>26</v>
      </c>
      <c r="SK13" s="1">
        <v>174.13975067316741</v>
      </c>
      <c r="SL13" s="1">
        <v>6325875.5612572851</v>
      </c>
      <c r="SM13" s="1">
        <v>2.752816570399886E-5</v>
      </c>
      <c r="SN13" s="1"/>
      <c r="SO13" s="22">
        <v>12102</v>
      </c>
      <c r="SP13" s="1" t="s">
        <v>31</v>
      </c>
      <c r="SQ13" s="1">
        <v>2022</v>
      </c>
      <c r="SR13" s="1" t="s">
        <v>26</v>
      </c>
      <c r="SS13" s="1">
        <v>302.53713827427453</v>
      </c>
      <c r="ST13" s="1">
        <v>9782189.227885304</v>
      </c>
      <c r="SU13" s="1">
        <v>3.0927344710512871E-5</v>
      </c>
      <c r="SV13" s="1"/>
      <c r="SW13" s="22">
        <v>13022</v>
      </c>
      <c r="SX13" s="1" t="s">
        <v>51</v>
      </c>
      <c r="SY13" s="1">
        <v>2022</v>
      </c>
      <c r="SZ13" s="1" t="s">
        <v>26</v>
      </c>
      <c r="TA13" s="1">
        <v>433.283020529704</v>
      </c>
      <c r="TB13" s="1">
        <v>4800579.963537232</v>
      </c>
      <c r="TC13" s="1">
        <v>9.0256390648776156E-5</v>
      </c>
      <c r="TD13" s="1"/>
      <c r="TE13" s="22">
        <v>13942</v>
      </c>
      <c r="TF13" s="1" t="s">
        <v>57</v>
      </c>
      <c r="TG13" s="1">
        <v>2022</v>
      </c>
      <c r="TH13" s="1" t="s">
        <v>26</v>
      </c>
      <c r="TI13" s="1">
        <v>1332.443071425444</v>
      </c>
      <c r="TJ13" s="1">
        <v>9346455.8140041605</v>
      </c>
      <c r="TK13" s="1">
        <v>1.4256131927879999E-4</v>
      </c>
      <c r="TL13" s="1"/>
      <c r="TM13" s="22">
        <v>8468</v>
      </c>
      <c r="TN13" s="1" t="s">
        <v>17</v>
      </c>
      <c r="TO13" s="1">
        <v>2023</v>
      </c>
      <c r="TP13" s="1" t="s">
        <v>26</v>
      </c>
      <c r="TQ13" s="1">
        <v>20518.798445351709</v>
      </c>
      <c r="TR13" s="1">
        <v>4968081.7329930915</v>
      </c>
      <c r="TS13" s="1">
        <v>4.1301249754178001E-3</v>
      </c>
      <c r="TT13" s="1"/>
      <c r="TU13" s="22">
        <v>9388</v>
      </c>
      <c r="TV13" s="1" t="s">
        <v>61</v>
      </c>
      <c r="TW13" s="1">
        <v>2023</v>
      </c>
      <c r="TX13" s="1" t="s">
        <v>26</v>
      </c>
      <c r="TY13" s="1">
        <v>81243.832389094707</v>
      </c>
      <c r="TZ13" s="1">
        <v>61560292.543660469</v>
      </c>
      <c r="UA13" s="1">
        <v>1.3197440920456E-3</v>
      </c>
      <c r="UB13" s="1"/>
      <c r="UC13" s="22">
        <v>10308</v>
      </c>
      <c r="UD13" s="1" t="s">
        <v>44</v>
      </c>
      <c r="UE13" s="1">
        <v>2023</v>
      </c>
      <c r="UF13" s="1" t="s">
        <v>26</v>
      </c>
      <c r="UG13" s="1">
        <v>7023.3011702841432</v>
      </c>
      <c r="UH13" s="1">
        <v>7441719.4347760417</v>
      </c>
      <c r="UI13" s="1">
        <v>9.4377398017229995E-4</v>
      </c>
      <c r="UJ13" s="1"/>
      <c r="UK13" s="22">
        <v>11228</v>
      </c>
      <c r="UL13" s="1" t="s">
        <v>38</v>
      </c>
      <c r="UM13" s="1">
        <v>2023</v>
      </c>
      <c r="UN13" s="1" t="s">
        <v>26</v>
      </c>
      <c r="UO13" s="1">
        <v>190.0528967910783</v>
      </c>
      <c r="UP13" s="1">
        <v>6903943.3587640161</v>
      </c>
      <c r="UQ13" s="1">
        <v>2.752816570399886E-5</v>
      </c>
      <c r="UR13" s="1"/>
      <c r="US13" s="22">
        <v>12148</v>
      </c>
      <c r="UT13" s="1" t="s">
        <v>31</v>
      </c>
      <c r="UU13" s="1">
        <v>2023</v>
      </c>
      <c r="UV13" s="1" t="s">
        <v>26</v>
      </c>
      <c r="UW13" s="1">
        <v>328.84819067342778</v>
      </c>
      <c r="UX13" s="1">
        <v>10632926.743356841</v>
      </c>
      <c r="UY13" s="1">
        <v>3.0927344710512871E-5</v>
      </c>
      <c r="UZ13" s="1"/>
      <c r="VA13" s="22">
        <v>13068</v>
      </c>
      <c r="VB13" s="1" t="s">
        <v>51</v>
      </c>
      <c r="VC13" s="1">
        <v>2023</v>
      </c>
      <c r="VD13" s="1" t="s">
        <v>26</v>
      </c>
      <c r="VE13" s="1">
        <v>474.57944932581199</v>
      </c>
      <c r="VF13" s="1">
        <v>5258125.7228930313</v>
      </c>
      <c r="VG13" s="1">
        <v>9.0256390648776156E-5</v>
      </c>
      <c r="VH13" s="1"/>
      <c r="VI13" s="22">
        <v>13988</v>
      </c>
      <c r="VJ13" s="1" t="s">
        <v>57</v>
      </c>
      <c r="VK13" s="1">
        <v>2023</v>
      </c>
      <c r="VL13" s="1" t="s">
        <v>26</v>
      </c>
      <c r="VM13" s="1">
        <v>1317.035039680733</v>
      </c>
      <c r="VN13" s="1">
        <v>9238375.7834414635</v>
      </c>
      <c r="VO13" s="1">
        <v>1.4256131927879999E-4</v>
      </c>
      <c r="VP13" s="1"/>
      <c r="VQ13" s="22">
        <v>8514</v>
      </c>
      <c r="VR13" s="1" t="s">
        <v>17</v>
      </c>
      <c r="VS13" s="1">
        <v>2024</v>
      </c>
      <c r="VT13" s="1" t="s">
        <v>26</v>
      </c>
      <c r="VU13" s="1">
        <v>21159.945988959171</v>
      </c>
      <c r="VV13" s="1">
        <v>5123318.5714479852</v>
      </c>
      <c r="VW13" s="1">
        <v>4.1301249754178001E-3</v>
      </c>
      <c r="VX13" s="1"/>
      <c r="VY13" s="22">
        <v>9434</v>
      </c>
      <c r="VZ13" s="1" t="s">
        <v>61</v>
      </c>
      <c r="WA13" s="1">
        <v>2024</v>
      </c>
      <c r="WB13" s="1" t="s">
        <v>26</v>
      </c>
      <c r="WC13" s="1">
        <v>85535.110004166199</v>
      </c>
      <c r="WD13" s="1">
        <v>64811890.820126347</v>
      </c>
      <c r="WE13" s="1">
        <v>1.3197440920456E-3</v>
      </c>
      <c r="WF13" s="1"/>
      <c r="WG13" s="22">
        <v>10354</v>
      </c>
      <c r="WH13" s="1" t="s">
        <v>44</v>
      </c>
      <c r="WI13" s="1">
        <v>2024</v>
      </c>
      <c r="WJ13" s="1" t="s">
        <v>26</v>
      </c>
      <c r="WK13" s="1">
        <v>7594.2963515743886</v>
      </c>
      <c r="WL13" s="1">
        <v>8046732.0684004631</v>
      </c>
      <c r="WM13" s="1">
        <v>9.4377398017229995E-4</v>
      </c>
      <c r="WN13" s="1"/>
      <c r="WO13" s="22">
        <v>11274</v>
      </c>
      <c r="WP13" s="1" t="s">
        <v>38</v>
      </c>
      <c r="WQ13" s="1">
        <v>2024</v>
      </c>
      <c r="WR13" s="1" t="s">
        <v>26</v>
      </c>
      <c r="WS13" s="1">
        <v>196.9187221716586</v>
      </c>
      <c r="WT13" s="1">
        <v>7153354.2877160665</v>
      </c>
      <c r="WU13" s="1">
        <v>2.752816570399886E-5</v>
      </c>
      <c r="WV13" s="1"/>
      <c r="WW13" s="22">
        <v>12194</v>
      </c>
      <c r="WX13" s="1" t="s">
        <v>31</v>
      </c>
      <c r="WY13" s="1">
        <v>2024</v>
      </c>
      <c r="WZ13" s="1" t="s">
        <v>26</v>
      </c>
      <c r="XA13" s="1">
        <v>338.60166364646938</v>
      </c>
      <c r="XB13" s="1">
        <v>10948294.03609846</v>
      </c>
      <c r="XC13" s="1">
        <v>3.0927344710512871E-5</v>
      </c>
      <c r="XD13" s="1"/>
      <c r="XE13" s="22">
        <v>13114</v>
      </c>
      <c r="XF13" s="1" t="s">
        <v>51</v>
      </c>
      <c r="XG13" s="1">
        <v>2024</v>
      </c>
      <c r="XH13" s="1" t="s">
        <v>26</v>
      </c>
      <c r="XI13" s="1">
        <v>488.61537525950462</v>
      </c>
      <c r="XJ13" s="1">
        <v>5413637.436055948</v>
      </c>
      <c r="XK13" s="1">
        <v>9.0256390648776156E-5</v>
      </c>
      <c r="XL13" s="1"/>
      <c r="XM13" s="22">
        <v>14034</v>
      </c>
      <c r="XN13" s="1" t="s">
        <v>57</v>
      </c>
      <c r="XO13" s="1">
        <v>2024</v>
      </c>
      <c r="XP13" s="1" t="s">
        <v>26</v>
      </c>
      <c r="XQ13" s="1">
        <v>1258.591428096413</v>
      </c>
      <c r="XR13" s="1">
        <v>8828421.583522588</v>
      </c>
      <c r="XS13" s="1">
        <v>1.4256131927879999E-4</v>
      </c>
      <c r="XT13" s="1"/>
    </row>
    <row r="14" spans="1:644" x14ac:dyDescent="0.25">
      <c r="A14" s="2">
        <v>5</v>
      </c>
      <c r="B14" s="1" t="s">
        <v>17</v>
      </c>
      <c r="C14" s="1" t="s">
        <v>28</v>
      </c>
      <c r="D14" s="1">
        <v>2.4078646928503471E-2</v>
      </c>
      <c r="E14" s="1">
        <v>2.47567897444535E-2</v>
      </c>
      <c r="F14" s="1">
        <v>2.526512188720529E-2</v>
      </c>
      <c r="G14" s="1">
        <v>2.525617748896393E-2</v>
      </c>
      <c r="H14" s="1">
        <v>2.4887521414948249E-2</v>
      </c>
      <c r="I14" s="1">
        <v>2.5502537336979381E-2</v>
      </c>
      <c r="J14" s="1">
        <v>2.6760588797317068E-2</v>
      </c>
      <c r="K14" s="1">
        <v>2.6760588797317051E-2</v>
      </c>
      <c r="L14" s="1">
        <v>2.6760588797317051E-2</v>
      </c>
      <c r="M14" s="1">
        <v>2.6760588797317051E-2</v>
      </c>
      <c r="N14" s="1">
        <v>2.6760588797317061E-2</v>
      </c>
      <c r="O14" s="1">
        <v>2.5777248980694469E-2</v>
      </c>
      <c r="P14" s="1"/>
      <c r="Q14" s="2">
        <v>38</v>
      </c>
      <c r="R14" s="1" t="s">
        <v>17</v>
      </c>
      <c r="S14" s="1" t="s">
        <v>29</v>
      </c>
      <c r="T14" s="1">
        <v>2.9211607604016091E-2</v>
      </c>
      <c r="U14" s="1"/>
      <c r="V14" s="2" t="s">
        <v>57</v>
      </c>
      <c r="W14" s="19">
        <v>1.6495580448358749E-2</v>
      </c>
      <c r="X14" s="16">
        <v>1.580121462557418E-2</v>
      </c>
      <c r="Y14" s="18">
        <v>5.9105416386208628E-2</v>
      </c>
      <c r="Z14" s="17">
        <v>9.1675687581907125E-2</v>
      </c>
      <c r="AA14" s="1">
        <f t="shared" si="0"/>
        <v>0.18307789904204869</v>
      </c>
      <c r="AC14" s="22">
        <v>879</v>
      </c>
      <c r="AD14" s="1" t="s">
        <v>17</v>
      </c>
      <c r="AE14" s="1">
        <v>2014</v>
      </c>
      <c r="AF14" s="1" t="s">
        <v>28</v>
      </c>
      <c r="AG14" s="1">
        <v>98438.7</v>
      </c>
      <c r="AH14" s="1">
        <v>4088215.6</v>
      </c>
      <c r="AI14" s="1">
        <v>2.4078646928503401E-2</v>
      </c>
      <c r="AJ14" s="1"/>
      <c r="AK14" s="22">
        <v>2075</v>
      </c>
      <c r="AL14" s="1" t="s">
        <v>61</v>
      </c>
      <c r="AM14" s="1">
        <v>2014</v>
      </c>
      <c r="AN14" s="1" t="s">
        <v>28</v>
      </c>
      <c r="AO14" s="1">
        <v>923864.5</v>
      </c>
      <c r="AP14" s="1">
        <v>40350049.200000003</v>
      </c>
      <c r="AQ14" s="1">
        <v>2.2896242218212699E-2</v>
      </c>
      <c r="AR14" s="1"/>
      <c r="AS14" s="22">
        <v>3271</v>
      </c>
      <c r="AT14" s="1" t="s">
        <v>44</v>
      </c>
      <c r="AU14" s="1">
        <v>2014</v>
      </c>
      <c r="AV14" s="1" t="s">
        <v>28</v>
      </c>
      <c r="AW14" s="1">
        <v>149386.1</v>
      </c>
      <c r="AX14" s="1">
        <v>6735816.8000000007</v>
      </c>
      <c r="AY14" s="1">
        <v>2.21778745526451E-2</v>
      </c>
      <c r="AZ14" s="1"/>
      <c r="BA14" s="22">
        <v>4467</v>
      </c>
      <c r="BB14" s="1" t="s">
        <v>38</v>
      </c>
      <c r="BC14" s="1">
        <v>2014</v>
      </c>
      <c r="BD14" s="1" t="s">
        <v>28</v>
      </c>
      <c r="BE14" s="1">
        <v>214171.8</v>
      </c>
      <c r="BF14" s="1">
        <v>6538596.7000000002</v>
      </c>
      <c r="BG14" s="1">
        <v>3.2755009954964699E-2</v>
      </c>
      <c r="BH14" s="1"/>
      <c r="BI14" s="22">
        <v>5663</v>
      </c>
      <c r="BJ14" s="1" t="s">
        <v>31</v>
      </c>
      <c r="BK14" s="1">
        <v>2014</v>
      </c>
      <c r="BL14" s="1" t="s">
        <v>28</v>
      </c>
      <c r="BM14" s="1">
        <v>240031.7</v>
      </c>
      <c r="BN14" s="1">
        <v>9155477.5</v>
      </c>
      <c r="BO14" s="1">
        <v>2.62172781266733E-2</v>
      </c>
      <c r="BP14" s="1"/>
      <c r="BQ14" s="22">
        <v>6859</v>
      </c>
      <c r="BR14" s="1" t="s">
        <v>51</v>
      </c>
      <c r="BS14" s="1">
        <v>2014</v>
      </c>
      <c r="BT14" s="1" t="s">
        <v>28</v>
      </c>
      <c r="BU14" s="1">
        <v>173103.9</v>
      </c>
      <c r="BV14" s="1">
        <v>4981875.5</v>
      </c>
      <c r="BW14" s="1">
        <v>3.4746733434024998E-2</v>
      </c>
      <c r="BX14" s="1"/>
      <c r="BY14" s="22">
        <v>8055</v>
      </c>
      <c r="BZ14" s="1" t="s">
        <v>57</v>
      </c>
      <c r="CA14" s="1">
        <v>2014</v>
      </c>
      <c r="CB14" s="1" t="s">
        <v>28</v>
      </c>
      <c r="CC14" s="1">
        <v>302914</v>
      </c>
      <c r="CD14" s="1">
        <v>11026913.800000001</v>
      </c>
      <c r="CE14" s="1">
        <v>2.7470424226949099E-2</v>
      </c>
      <c r="CF14" s="1"/>
      <c r="CG14" s="22">
        <v>925</v>
      </c>
      <c r="CH14" s="1" t="s">
        <v>17</v>
      </c>
      <c r="CI14" s="1">
        <v>2015</v>
      </c>
      <c r="CJ14" s="1" t="s">
        <v>28</v>
      </c>
      <c r="CK14" s="1">
        <v>88013.7</v>
      </c>
      <c r="CL14" s="1">
        <v>3555133.8</v>
      </c>
      <c r="CM14" s="1">
        <v>2.4756789744453399E-2</v>
      </c>
      <c r="CN14" s="1"/>
      <c r="CO14" s="22">
        <v>2121</v>
      </c>
      <c r="CP14" s="1" t="s">
        <v>61</v>
      </c>
      <c r="CQ14" s="1">
        <v>2015</v>
      </c>
      <c r="CR14" s="1" t="s">
        <v>28</v>
      </c>
      <c r="CS14" s="1">
        <v>921611.5</v>
      </c>
      <c r="CT14" s="1">
        <v>41208556.399999999</v>
      </c>
      <c r="CU14" s="1">
        <v>2.2364566500562899E-2</v>
      </c>
      <c r="CV14" s="1"/>
      <c r="CW14" s="22">
        <v>3317</v>
      </c>
      <c r="CX14" s="1" t="s">
        <v>44</v>
      </c>
      <c r="CY14" s="1">
        <v>2015</v>
      </c>
      <c r="CZ14" s="1" t="s">
        <v>28</v>
      </c>
      <c r="DA14" s="1">
        <v>137912.70000000001</v>
      </c>
      <c r="DB14" s="1">
        <v>6404349.4000000004</v>
      </c>
      <c r="DC14" s="1">
        <v>2.15342248503805E-2</v>
      </c>
      <c r="DD14" s="1"/>
      <c r="DE14" s="22">
        <v>4513</v>
      </c>
      <c r="DF14" s="1" t="s">
        <v>38</v>
      </c>
      <c r="DG14" s="1">
        <v>2015</v>
      </c>
      <c r="DH14" s="1" t="s">
        <v>28</v>
      </c>
      <c r="DI14" s="1">
        <v>175072.6</v>
      </c>
      <c r="DJ14" s="1">
        <v>5531517.5999999996</v>
      </c>
      <c r="DK14" s="1">
        <v>3.1650012285959199E-2</v>
      </c>
      <c r="DL14" s="1"/>
      <c r="DM14" s="22">
        <v>5709</v>
      </c>
      <c r="DN14" s="1" t="s">
        <v>31</v>
      </c>
      <c r="DO14" s="1">
        <v>2015</v>
      </c>
      <c r="DP14" s="1" t="s">
        <v>28</v>
      </c>
      <c r="DQ14" s="1">
        <v>197812.1</v>
      </c>
      <c r="DR14" s="1">
        <v>7894528</v>
      </c>
      <c r="DS14" s="1">
        <v>2.5056862170860599E-2</v>
      </c>
      <c r="DT14" s="1"/>
      <c r="DU14" s="22">
        <v>6905</v>
      </c>
      <c r="DV14" s="1" t="s">
        <v>51</v>
      </c>
      <c r="DW14" s="1">
        <v>2015</v>
      </c>
      <c r="DX14" s="1" t="s">
        <v>28</v>
      </c>
      <c r="DY14" s="1">
        <v>148651.1</v>
      </c>
      <c r="DZ14" s="1">
        <v>4209274.5999999996</v>
      </c>
      <c r="EA14" s="1">
        <v>3.5315134821567597E-2</v>
      </c>
      <c r="EB14" s="1"/>
      <c r="EC14" s="22">
        <v>8101</v>
      </c>
      <c r="ED14" s="1" t="s">
        <v>57</v>
      </c>
      <c r="EE14" s="1">
        <v>2015</v>
      </c>
      <c r="EF14" s="1" t="s">
        <v>28</v>
      </c>
      <c r="EG14" s="1">
        <v>276654.90000000002</v>
      </c>
      <c r="EH14" s="1">
        <v>9729477.0999999996</v>
      </c>
      <c r="EI14" s="1">
        <v>2.8434714132787201E-2</v>
      </c>
      <c r="EJ14" s="1"/>
      <c r="EK14" s="22">
        <v>971</v>
      </c>
      <c r="EL14" s="1" t="s">
        <v>17</v>
      </c>
      <c r="EM14" s="1">
        <v>2016</v>
      </c>
      <c r="EN14" s="1" t="s">
        <v>28</v>
      </c>
      <c r="EO14" s="1">
        <v>87503.4</v>
      </c>
      <c r="EP14" s="1">
        <v>3463407</v>
      </c>
      <c r="EQ14" s="1">
        <v>2.52651218872052E-2</v>
      </c>
      <c r="ER14" s="1"/>
      <c r="ES14" s="22">
        <v>2167</v>
      </c>
      <c r="ET14" s="1" t="s">
        <v>61</v>
      </c>
      <c r="EU14" s="1">
        <v>2016</v>
      </c>
      <c r="EV14" s="1" t="s">
        <v>28</v>
      </c>
      <c r="EW14" s="1">
        <v>921732.2</v>
      </c>
      <c r="EX14" s="1">
        <v>42141395.200000003</v>
      </c>
      <c r="EY14" s="1">
        <v>2.1872370281655899E-2</v>
      </c>
      <c r="EZ14" s="1"/>
      <c r="FA14" s="22">
        <v>3363</v>
      </c>
      <c r="FB14" s="1" t="s">
        <v>44</v>
      </c>
      <c r="FC14" s="1">
        <v>2016</v>
      </c>
      <c r="FD14" s="1" t="s">
        <v>28</v>
      </c>
      <c r="FE14" s="1">
        <v>122275.2</v>
      </c>
      <c r="FF14" s="1">
        <v>5868597.7999999998</v>
      </c>
      <c r="FG14" s="1">
        <v>2.0835505203645001E-2</v>
      </c>
      <c r="FH14" s="1"/>
      <c r="FI14" s="22">
        <v>4559</v>
      </c>
      <c r="FJ14" s="1" t="s">
        <v>38</v>
      </c>
      <c r="FK14" s="1">
        <v>2016</v>
      </c>
      <c r="FL14" s="1" t="s">
        <v>28</v>
      </c>
      <c r="FM14" s="1">
        <v>171880.3</v>
      </c>
      <c r="FN14" s="1">
        <v>5582986.5</v>
      </c>
      <c r="FO14" s="1">
        <v>3.0786443778791101E-2</v>
      </c>
      <c r="FP14" s="1"/>
      <c r="FQ14" s="22">
        <v>5755</v>
      </c>
      <c r="FR14" s="1" t="s">
        <v>31</v>
      </c>
      <c r="FS14" s="1">
        <v>2016</v>
      </c>
      <c r="FT14" s="1" t="s">
        <v>28</v>
      </c>
      <c r="FU14" s="1">
        <v>202050.3</v>
      </c>
      <c r="FV14" s="1">
        <v>8130820.9000000004</v>
      </c>
      <c r="FW14" s="1">
        <v>2.4849926284810898E-2</v>
      </c>
      <c r="FX14" s="1"/>
      <c r="FY14" s="22">
        <v>6951</v>
      </c>
      <c r="FZ14" s="1" t="s">
        <v>51</v>
      </c>
      <c r="GA14" s="1">
        <v>2016</v>
      </c>
      <c r="GB14" s="1" t="s">
        <v>28</v>
      </c>
      <c r="GC14" s="1">
        <v>150175.70000000001</v>
      </c>
      <c r="GD14" s="1">
        <v>4230502.5999999996</v>
      </c>
      <c r="GE14" s="1">
        <v>3.5498311713601099E-2</v>
      </c>
      <c r="GF14" s="1"/>
      <c r="GG14" s="22">
        <v>8147</v>
      </c>
      <c r="GH14" s="1" t="s">
        <v>57</v>
      </c>
      <c r="GI14" s="1">
        <v>2016</v>
      </c>
      <c r="GJ14" s="1" t="s">
        <v>28</v>
      </c>
      <c r="GK14" s="1">
        <v>304978.59999999998</v>
      </c>
      <c r="GL14" s="1">
        <v>10773649.5</v>
      </c>
      <c r="GM14" s="1">
        <v>2.8307826424091399E-2</v>
      </c>
      <c r="GN14" s="1"/>
      <c r="GO14" s="22">
        <v>1017</v>
      </c>
      <c r="GP14" s="1" t="s">
        <v>17</v>
      </c>
      <c r="GQ14" s="1">
        <v>2017</v>
      </c>
      <c r="GR14" s="1" t="s">
        <v>28</v>
      </c>
      <c r="GS14" s="1">
        <v>93946.3</v>
      </c>
      <c r="GT14" s="1">
        <v>3719735.5</v>
      </c>
      <c r="GU14" s="1">
        <v>2.5256177488963898E-2</v>
      </c>
      <c r="GV14" s="1"/>
      <c r="GW14" s="22">
        <v>2213</v>
      </c>
      <c r="GX14" s="1" t="s">
        <v>61</v>
      </c>
      <c r="GY14" s="1">
        <v>2017</v>
      </c>
      <c r="GZ14" s="1" t="s">
        <v>28</v>
      </c>
      <c r="HA14" s="1">
        <v>917297.8</v>
      </c>
      <c r="HB14" s="1">
        <v>44107004.100000001</v>
      </c>
      <c r="HC14" s="1">
        <v>2.07971005675264E-2</v>
      </c>
      <c r="HD14" s="1"/>
      <c r="HE14" s="22">
        <v>3409</v>
      </c>
      <c r="HF14" s="1" t="s">
        <v>44</v>
      </c>
      <c r="HG14" s="1">
        <v>2017</v>
      </c>
      <c r="HH14" s="1" t="s">
        <v>28</v>
      </c>
      <c r="HI14" s="1">
        <v>121157.8</v>
      </c>
      <c r="HJ14" s="1">
        <v>5855367.5</v>
      </c>
      <c r="HK14" s="1">
        <v>2.0691749920051902E-2</v>
      </c>
      <c r="HL14" s="1"/>
      <c r="HM14" s="22">
        <v>4605</v>
      </c>
      <c r="HN14" s="1" t="s">
        <v>38</v>
      </c>
      <c r="HO14" s="1">
        <v>2017</v>
      </c>
      <c r="HP14" s="1" t="s">
        <v>28</v>
      </c>
      <c r="HQ14" s="1">
        <v>183829.9</v>
      </c>
      <c r="HR14" s="1">
        <v>5923445.7000000002</v>
      </c>
      <c r="HS14" s="1">
        <v>3.1034284656310699E-2</v>
      </c>
      <c r="HT14" s="1"/>
      <c r="HU14" s="22">
        <v>5801</v>
      </c>
      <c r="HV14" s="1" t="s">
        <v>31</v>
      </c>
      <c r="HW14" s="1">
        <v>2017</v>
      </c>
      <c r="HX14" s="1" t="s">
        <v>28</v>
      </c>
      <c r="HY14" s="1">
        <v>219563.7</v>
      </c>
      <c r="HZ14" s="1">
        <v>8686095.3000000007</v>
      </c>
      <c r="IA14" s="1">
        <v>2.5277606613411201E-2</v>
      </c>
      <c r="IB14" s="1"/>
      <c r="IC14" s="22">
        <v>6997</v>
      </c>
      <c r="ID14" s="1" t="s">
        <v>51</v>
      </c>
      <c r="IE14" s="1">
        <v>2017</v>
      </c>
      <c r="IF14" s="1" t="s">
        <v>28</v>
      </c>
      <c r="IG14" s="1">
        <v>158365.70000000001</v>
      </c>
      <c r="IH14" s="1">
        <v>4472691.8</v>
      </c>
      <c r="II14" s="1">
        <v>3.5407246258282302E-2</v>
      </c>
      <c r="IJ14" s="1"/>
      <c r="IK14" s="22">
        <v>8193</v>
      </c>
      <c r="IL14" s="1" t="s">
        <v>57</v>
      </c>
      <c r="IM14" s="1">
        <v>2017</v>
      </c>
      <c r="IN14" s="1" t="s">
        <v>28</v>
      </c>
      <c r="IO14" s="1">
        <v>299415.40000000002</v>
      </c>
      <c r="IP14" s="1">
        <v>10750260.5</v>
      </c>
      <c r="IQ14" s="1">
        <v>2.78519204255562E-2</v>
      </c>
      <c r="IR14" s="1"/>
      <c r="IS14" s="22">
        <v>1063</v>
      </c>
      <c r="IT14" s="1" t="s">
        <v>17</v>
      </c>
      <c r="IU14" s="1">
        <v>2018</v>
      </c>
      <c r="IV14" s="1" t="s">
        <v>28</v>
      </c>
      <c r="IW14" s="1">
        <v>97165</v>
      </c>
      <c r="IX14" s="1">
        <v>3904165.4</v>
      </c>
      <c r="IY14" s="1">
        <v>2.48875214149482E-2</v>
      </c>
      <c r="IZ14" s="1"/>
      <c r="JA14" s="22">
        <v>2259</v>
      </c>
      <c r="JB14" s="1" t="s">
        <v>61</v>
      </c>
      <c r="JC14" s="1">
        <v>2018</v>
      </c>
      <c r="JD14" s="1" t="s">
        <v>28</v>
      </c>
      <c r="JE14" s="1">
        <v>930105.2</v>
      </c>
      <c r="JF14" s="1">
        <v>46669099.200000003</v>
      </c>
      <c r="JG14" s="1">
        <v>1.9929786859909999E-2</v>
      </c>
      <c r="JH14" s="1"/>
      <c r="JI14" s="22">
        <v>3455</v>
      </c>
      <c r="JJ14" s="1" t="s">
        <v>44</v>
      </c>
      <c r="JK14" s="1">
        <v>2018</v>
      </c>
      <c r="JL14" s="1" t="s">
        <v>28</v>
      </c>
      <c r="JM14" s="1">
        <v>132602.1</v>
      </c>
      <c r="JN14" s="1">
        <v>6336724.7000000002</v>
      </c>
      <c r="JO14" s="1">
        <v>2.09259682687493E-2</v>
      </c>
      <c r="JP14" s="1"/>
      <c r="JQ14" s="22">
        <v>4651</v>
      </c>
      <c r="JR14" s="1" t="s">
        <v>38</v>
      </c>
      <c r="JS14" s="1">
        <v>2018</v>
      </c>
      <c r="JT14" s="1" t="s">
        <v>28</v>
      </c>
      <c r="JU14" s="1">
        <v>190776.6</v>
      </c>
      <c r="JV14" s="1">
        <v>6390706</v>
      </c>
      <c r="JW14" s="1">
        <v>2.9852194734040299E-2</v>
      </c>
      <c r="JX14" s="1"/>
      <c r="JY14" s="22">
        <v>5847</v>
      </c>
      <c r="JZ14" s="1" t="s">
        <v>31</v>
      </c>
      <c r="KA14" s="1">
        <v>2018</v>
      </c>
      <c r="KB14" s="1" t="s">
        <v>28</v>
      </c>
      <c r="KC14" s="1">
        <v>228521.1</v>
      </c>
      <c r="KD14" s="1">
        <v>9443218.3000000007</v>
      </c>
      <c r="KE14" s="1">
        <v>2.41994935137737E-2</v>
      </c>
      <c r="KF14" s="1"/>
      <c r="KG14" s="22">
        <v>7043</v>
      </c>
      <c r="KH14" s="1" t="s">
        <v>51</v>
      </c>
      <c r="KI14" s="1">
        <v>2018</v>
      </c>
      <c r="KJ14" s="1" t="s">
        <v>28</v>
      </c>
      <c r="KK14" s="1">
        <v>167432.20000000001</v>
      </c>
      <c r="KL14" s="1">
        <v>4803387.8</v>
      </c>
      <c r="KM14" s="1">
        <v>3.4857106478057003E-2</v>
      </c>
      <c r="KN14" s="1"/>
      <c r="KO14" s="22">
        <v>8239</v>
      </c>
      <c r="KP14" s="1" t="s">
        <v>57</v>
      </c>
      <c r="KQ14" s="1">
        <v>2018</v>
      </c>
      <c r="KR14" s="1" t="s">
        <v>28</v>
      </c>
      <c r="KS14" s="1">
        <v>310335.90000000002</v>
      </c>
      <c r="KT14" s="1">
        <v>11172914.4</v>
      </c>
      <c r="KU14" s="1">
        <v>2.7775734145067801E-2</v>
      </c>
      <c r="KV14" s="1"/>
      <c r="KW14" s="22">
        <v>1109</v>
      </c>
      <c r="KX14" s="1" t="s">
        <v>17</v>
      </c>
      <c r="KY14" s="1">
        <v>2019</v>
      </c>
      <c r="KZ14" s="1" t="s">
        <v>28</v>
      </c>
      <c r="LA14" s="1">
        <v>100870.9</v>
      </c>
      <c r="LB14" s="1">
        <v>3955328</v>
      </c>
      <c r="LC14" s="1">
        <v>2.5502537336979301E-2</v>
      </c>
      <c r="LD14" s="1"/>
      <c r="LE14" s="22">
        <v>2305</v>
      </c>
      <c r="LF14" s="1" t="s">
        <v>61</v>
      </c>
      <c r="LG14" s="1">
        <v>2019</v>
      </c>
      <c r="LH14" s="1" t="s">
        <v>28</v>
      </c>
      <c r="LI14" s="1">
        <v>954201.5</v>
      </c>
      <c r="LJ14" s="1">
        <v>48356774.5</v>
      </c>
      <c r="LK14" s="1">
        <v>1.9732529927114901E-2</v>
      </c>
      <c r="LL14" s="1"/>
      <c r="LM14" s="22">
        <v>3501</v>
      </c>
      <c r="LN14" s="1" t="s">
        <v>44</v>
      </c>
      <c r="LO14" s="1">
        <v>2019</v>
      </c>
      <c r="LP14" s="1" t="s">
        <v>28</v>
      </c>
      <c r="LQ14" s="1">
        <v>127454.7</v>
      </c>
      <c r="LR14" s="1">
        <v>6269787.0999999996</v>
      </c>
      <c r="LS14" s="1">
        <v>2.03283936068578E-2</v>
      </c>
      <c r="LT14" s="1"/>
      <c r="LU14" s="22">
        <v>4697</v>
      </c>
      <c r="LV14" s="1" t="s">
        <v>38</v>
      </c>
      <c r="LW14" s="1">
        <v>2019</v>
      </c>
      <c r="LX14" s="1" t="s">
        <v>28</v>
      </c>
      <c r="LY14" s="1">
        <v>182638.4</v>
      </c>
      <c r="LZ14" s="1">
        <v>6182094.5</v>
      </c>
      <c r="MA14" s="1">
        <v>2.9543126524513599E-2</v>
      </c>
      <c r="MB14" s="1"/>
      <c r="MC14" s="22">
        <v>5893</v>
      </c>
      <c r="MD14" s="1" t="s">
        <v>31</v>
      </c>
      <c r="ME14" s="1">
        <v>2019</v>
      </c>
      <c r="MF14" s="1" t="s">
        <v>28</v>
      </c>
      <c r="MG14" s="1">
        <v>220164.2</v>
      </c>
      <c r="MH14" s="1">
        <v>9237079</v>
      </c>
      <c r="MI14" s="1">
        <v>2.3834829170563499E-2</v>
      </c>
      <c r="MJ14" s="1"/>
      <c r="MK14" s="22">
        <v>7089</v>
      </c>
      <c r="ML14" s="1" t="s">
        <v>51</v>
      </c>
      <c r="MM14" s="1">
        <v>2019</v>
      </c>
      <c r="MN14" s="1" t="s">
        <v>28</v>
      </c>
      <c r="MO14" s="1">
        <v>160978.79999999999</v>
      </c>
      <c r="MP14" s="1">
        <v>4608662</v>
      </c>
      <c r="MQ14" s="1">
        <v>3.49296173162622E-2</v>
      </c>
      <c r="MR14" s="1"/>
      <c r="MS14" s="22">
        <v>8285</v>
      </c>
      <c r="MT14" s="1" t="s">
        <v>57</v>
      </c>
      <c r="MU14" s="1">
        <v>2019</v>
      </c>
      <c r="MV14" s="1" t="s">
        <v>28</v>
      </c>
      <c r="MW14" s="1">
        <v>313698</v>
      </c>
      <c r="MX14" s="1">
        <v>11338077</v>
      </c>
      <c r="MY14" s="1">
        <v>2.7667654753094299E-2</v>
      </c>
      <c r="MZ14" s="1"/>
      <c r="NA14" s="22">
        <v>1155</v>
      </c>
      <c r="NB14" s="1" t="s">
        <v>17</v>
      </c>
      <c r="NC14" s="1">
        <v>2020</v>
      </c>
      <c r="ND14" s="1" t="s">
        <v>28</v>
      </c>
      <c r="NE14" s="1">
        <v>101282.2</v>
      </c>
      <c r="NF14" s="1">
        <v>3784752.3</v>
      </c>
      <c r="NG14" s="1">
        <v>2.6760588797316999E-2</v>
      </c>
      <c r="NH14" s="1"/>
      <c r="NI14" s="22">
        <v>2351</v>
      </c>
      <c r="NJ14" s="1" t="s">
        <v>61</v>
      </c>
      <c r="NK14" s="1">
        <v>2020</v>
      </c>
      <c r="NL14" s="1" t="s">
        <v>28</v>
      </c>
      <c r="NM14" s="1">
        <v>979205.1</v>
      </c>
      <c r="NN14" s="1">
        <v>47421769.399999999</v>
      </c>
      <c r="NO14" s="1">
        <v>2.0648852043888499E-2</v>
      </c>
      <c r="NP14" s="1"/>
      <c r="NQ14" s="22">
        <v>3547</v>
      </c>
      <c r="NR14" s="1" t="s">
        <v>44</v>
      </c>
      <c r="NS14" s="1">
        <v>2020</v>
      </c>
      <c r="NT14" s="1" t="s">
        <v>28</v>
      </c>
      <c r="NU14" s="1">
        <v>125422.9</v>
      </c>
      <c r="NV14" s="1">
        <v>5955345.3666666672</v>
      </c>
      <c r="NW14" s="1">
        <v>2.10605585869156E-2</v>
      </c>
      <c r="NX14" s="1"/>
      <c r="NY14" s="22">
        <v>4743</v>
      </c>
      <c r="NZ14" s="1" t="s">
        <v>38</v>
      </c>
      <c r="OA14" s="1">
        <v>2020</v>
      </c>
      <c r="OB14" s="1" t="s">
        <v>28</v>
      </c>
      <c r="OC14" s="1">
        <v>186370.2</v>
      </c>
      <c r="OD14" s="1">
        <v>5990228.4000000004</v>
      </c>
      <c r="OE14" s="1">
        <v>3.1112369605138902E-2</v>
      </c>
      <c r="OF14" s="1"/>
      <c r="OG14" s="22">
        <v>5939</v>
      </c>
      <c r="OH14" s="1" t="s">
        <v>31</v>
      </c>
      <c r="OI14" s="1">
        <v>2020</v>
      </c>
      <c r="OJ14" s="1" t="s">
        <v>28</v>
      </c>
      <c r="OK14" s="1">
        <v>235557.6</v>
      </c>
      <c r="OL14" s="1">
        <v>9257180.0999999996</v>
      </c>
      <c r="OM14" s="1">
        <v>2.5445934664272099E-2</v>
      </c>
      <c r="ON14" s="1"/>
      <c r="OO14" s="22">
        <v>7135</v>
      </c>
      <c r="OP14" s="1" t="s">
        <v>51</v>
      </c>
      <c r="OQ14" s="1">
        <v>2020</v>
      </c>
      <c r="OR14" s="1" t="s">
        <v>28</v>
      </c>
      <c r="OS14" s="1">
        <v>161040.1</v>
      </c>
      <c r="OT14" s="1">
        <v>4352046.4000000004</v>
      </c>
      <c r="OU14" s="1">
        <v>3.7003304927998901E-2</v>
      </c>
      <c r="OV14" s="1"/>
      <c r="OW14" s="22">
        <v>8331</v>
      </c>
      <c r="OX14" s="1" t="s">
        <v>57</v>
      </c>
      <c r="OY14" s="1">
        <v>2020</v>
      </c>
      <c r="OZ14" s="1" t="s">
        <v>28</v>
      </c>
      <c r="PA14" s="1">
        <v>282055.2</v>
      </c>
      <c r="PB14" s="1">
        <v>11082248.733333331</v>
      </c>
      <c r="PC14" s="1">
        <v>2.54510800819359E-2</v>
      </c>
      <c r="PD14" s="1"/>
      <c r="PE14" s="22">
        <v>8377</v>
      </c>
      <c r="PF14" s="1" t="s">
        <v>17</v>
      </c>
      <c r="PG14" s="1">
        <v>2021</v>
      </c>
      <c r="PH14" s="1" t="s">
        <v>28</v>
      </c>
      <c r="PI14" s="1">
        <v>123714.1812644952</v>
      </c>
      <c r="PJ14" s="1">
        <v>4622999.2247741111</v>
      </c>
      <c r="PK14" s="1">
        <v>2.6760588797316999E-2</v>
      </c>
      <c r="PL14" s="1"/>
      <c r="PM14" s="22">
        <v>9297</v>
      </c>
      <c r="PN14" s="1" t="s">
        <v>61</v>
      </c>
      <c r="PO14" s="1">
        <v>2021</v>
      </c>
      <c r="PP14" s="1" t="s">
        <v>28</v>
      </c>
      <c r="PQ14" s="1">
        <v>1085915.6702516139</v>
      </c>
      <c r="PR14" s="1">
        <v>52589638.782026872</v>
      </c>
      <c r="PS14" s="1">
        <v>2.0648852043888499E-2</v>
      </c>
      <c r="PT14" s="1"/>
      <c r="PU14" s="22">
        <v>10217</v>
      </c>
      <c r="PV14" s="1" t="s">
        <v>44</v>
      </c>
      <c r="PW14" s="1">
        <v>2021</v>
      </c>
      <c r="PX14" s="1" t="s">
        <v>28</v>
      </c>
      <c r="PY14" s="1">
        <v>146190.7571355465</v>
      </c>
      <c r="PZ14" s="1">
        <v>6941447.2808129201</v>
      </c>
      <c r="QA14" s="1">
        <v>2.10605585869156E-2</v>
      </c>
      <c r="QB14" s="1"/>
      <c r="QC14" s="22">
        <v>11137</v>
      </c>
      <c r="QD14" s="1" t="s">
        <v>38</v>
      </c>
      <c r="QE14" s="1">
        <v>2021</v>
      </c>
      <c r="QF14" s="1" t="s">
        <v>28</v>
      </c>
      <c r="QG14" s="1">
        <v>208787.29890367179</v>
      </c>
      <c r="QH14" s="1">
        <v>6710748.8614170318</v>
      </c>
      <c r="QI14" s="1">
        <v>3.1112369605138902E-2</v>
      </c>
      <c r="QJ14" s="1"/>
      <c r="QK14" s="22">
        <v>12057</v>
      </c>
      <c r="QL14" s="1" t="s">
        <v>31</v>
      </c>
      <c r="QM14" s="1">
        <v>2021</v>
      </c>
      <c r="QN14" s="1" t="s">
        <v>28</v>
      </c>
      <c r="QO14" s="1">
        <v>259959.06543422301</v>
      </c>
      <c r="QP14" s="1">
        <v>10216133.49495957</v>
      </c>
      <c r="QQ14" s="1">
        <v>2.5445934664272099E-2</v>
      </c>
      <c r="QR14" s="1"/>
      <c r="QS14" s="22">
        <v>12977</v>
      </c>
      <c r="QT14" s="1" t="s">
        <v>51</v>
      </c>
      <c r="QU14" s="1">
        <v>2021</v>
      </c>
      <c r="QV14" s="1" t="s">
        <v>28</v>
      </c>
      <c r="QW14" s="1">
        <v>183981.06209291829</v>
      </c>
      <c r="QX14" s="1">
        <v>4972017.0252605537</v>
      </c>
      <c r="QY14" s="1">
        <v>3.7003304927998901E-2</v>
      </c>
      <c r="QZ14" s="1"/>
      <c r="RA14" s="22">
        <v>13897</v>
      </c>
      <c r="RB14" s="1" t="s">
        <v>57</v>
      </c>
      <c r="RC14" s="1">
        <v>2021</v>
      </c>
      <c r="RD14" s="1" t="s">
        <v>28</v>
      </c>
      <c r="RE14" s="1">
        <v>281222.55154360691</v>
      </c>
      <c r="RF14" s="1">
        <v>11049533.09007922</v>
      </c>
      <c r="RG14" s="1">
        <v>2.54510800819359E-2</v>
      </c>
      <c r="RH14" s="1"/>
      <c r="RI14" s="22">
        <v>8423</v>
      </c>
      <c r="RJ14" s="1" t="s">
        <v>17</v>
      </c>
      <c r="RK14" s="1">
        <v>2022</v>
      </c>
      <c r="RL14" s="1" t="s">
        <v>28</v>
      </c>
      <c r="RM14" s="1">
        <v>133993.00813079791</v>
      </c>
      <c r="RN14" s="1">
        <v>5007102.3902221443</v>
      </c>
      <c r="RO14" s="1">
        <v>2.6760588797316999E-2</v>
      </c>
      <c r="RP14" s="1"/>
      <c r="RQ14" s="22">
        <v>9343</v>
      </c>
      <c r="RR14" s="1" t="s">
        <v>61</v>
      </c>
      <c r="RS14" s="1">
        <v>2022</v>
      </c>
      <c r="RT14" s="1" t="s">
        <v>28</v>
      </c>
      <c r="RU14" s="1">
        <v>1192562.0426611269</v>
      </c>
      <c r="RV14" s="1">
        <v>57754399.13688051</v>
      </c>
      <c r="RW14" s="1">
        <v>2.0648852043888499E-2</v>
      </c>
      <c r="RX14" s="1"/>
      <c r="RY14" s="22">
        <v>10263</v>
      </c>
      <c r="RZ14" s="1" t="s">
        <v>44</v>
      </c>
      <c r="SA14" s="1">
        <v>2022</v>
      </c>
      <c r="SB14" s="1" t="s">
        <v>28</v>
      </c>
      <c r="SC14" s="1">
        <v>144828.99143274539</v>
      </c>
      <c r="SD14" s="1">
        <v>6876787.7563667288</v>
      </c>
      <c r="SE14" s="1">
        <v>2.10605585869156E-2</v>
      </c>
      <c r="SF14" s="1"/>
      <c r="SG14" s="22">
        <v>11183</v>
      </c>
      <c r="SH14" s="1" t="s">
        <v>38</v>
      </c>
      <c r="SI14" s="1">
        <v>2022</v>
      </c>
      <c r="SJ14" s="1" t="s">
        <v>28</v>
      </c>
      <c r="SK14" s="1">
        <v>196812.97853795209</v>
      </c>
      <c r="SL14" s="1">
        <v>6325875.5612572851</v>
      </c>
      <c r="SM14" s="1">
        <v>3.1112369605138902E-2</v>
      </c>
      <c r="SN14" s="1"/>
      <c r="SO14" s="22">
        <v>12103</v>
      </c>
      <c r="SP14" s="1" t="s">
        <v>31</v>
      </c>
      <c r="SQ14" s="1">
        <v>2022</v>
      </c>
      <c r="SR14" s="1" t="s">
        <v>28</v>
      </c>
      <c r="SS14" s="1">
        <v>248916.94796631581</v>
      </c>
      <c r="ST14" s="1">
        <v>9782189.227885304</v>
      </c>
      <c r="SU14" s="1">
        <v>2.5445934664272099E-2</v>
      </c>
      <c r="SV14" s="1"/>
      <c r="SW14" s="22">
        <v>13023</v>
      </c>
      <c r="SX14" s="1" t="s">
        <v>51</v>
      </c>
      <c r="SY14" s="1">
        <v>2022</v>
      </c>
      <c r="SZ14" s="1" t="s">
        <v>28</v>
      </c>
      <c r="TA14" s="1">
        <v>177637.32422201001</v>
      </c>
      <c r="TB14" s="1">
        <v>4800579.963537232</v>
      </c>
      <c r="TC14" s="1">
        <v>3.7003304927998901E-2</v>
      </c>
      <c r="TD14" s="1"/>
      <c r="TE14" s="22">
        <v>13943</v>
      </c>
      <c r="TF14" s="1" t="s">
        <v>57</v>
      </c>
      <c r="TG14" s="1">
        <v>2022</v>
      </c>
      <c r="TH14" s="1" t="s">
        <v>28</v>
      </c>
      <c r="TI14" s="1">
        <v>237877.3954044953</v>
      </c>
      <c r="TJ14" s="1">
        <v>9346455.8140041605</v>
      </c>
      <c r="TK14" s="1">
        <v>2.54510800819359E-2</v>
      </c>
      <c r="TL14" s="1"/>
      <c r="TM14" s="22">
        <v>8469</v>
      </c>
      <c r="TN14" s="1" t="s">
        <v>17</v>
      </c>
      <c r="TO14" s="1">
        <v>2023</v>
      </c>
      <c r="TP14" s="1" t="s">
        <v>28</v>
      </c>
      <c r="TQ14" s="1">
        <v>132948.7923680901</v>
      </c>
      <c r="TR14" s="1">
        <v>4968081.7329930915</v>
      </c>
      <c r="TS14" s="1">
        <v>2.6760588797316999E-2</v>
      </c>
      <c r="TT14" s="1"/>
      <c r="TU14" s="22">
        <v>9389</v>
      </c>
      <c r="TV14" s="1" t="s">
        <v>61</v>
      </c>
      <c r="TW14" s="1">
        <v>2023</v>
      </c>
      <c r="TX14" s="1" t="s">
        <v>28</v>
      </c>
      <c r="TY14" s="1">
        <v>1271149.372512538</v>
      </c>
      <c r="TZ14" s="1">
        <v>61560292.543660469</v>
      </c>
      <c r="UA14" s="1">
        <v>2.0648852043888499E-2</v>
      </c>
      <c r="UB14" s="1"/>
      <c r="UC14" s="22">
        <v>10309</v>
      </c>
      <c r="UD14" s="1" t="s">
        <v>44</v>
      </c>
      <c r="UE14" s="1">
        <v>2023</v>
      </c>
      <c r="UF14" s="1" t="s">
        <v>28</v>
      </c>
      <c r="UG14" s="1">
        <v>156726.76814348929</v>
      </c>
      <c r="UH14" s="1">
        <v>7441719.4347760417</v>
      </c>
      <c r="UI14" s="1">
        <v>2.10605585869156E-2</v>
      </c>
      <c r="UJ14" s="1"/>
      <c r="UK14" s="22">
        <v>11229</v>
      </c>
      <c r="UL14" s="1" t="s">
        <v>38</v>
      </c>
      <c r="UM14" s="1">
        <v>2023</v>
      </c>
      <c r="UN14" s="1" t="s">
        <v>28</v>
      </c>
      <c r="UO14" s="1">
        <v>214798.03751081019</v>
      </c>
      <c r="UP14" s="1">
        <v>6903943.3587640161</v>
      </c>
      <c r="UQ14" s="1">
        <v>3.1112369605138902E-2</v>
      </c>
      <c r="UR14" s="1"/>
      <c r="US14" s="22">
        <v>12149</v>
      </c>
      <c r="UT14" s="1" t="s">
        <v>31</v>
      </c>
      <c r="UU14" s="1">
        <v>2023</v>
      </c>
      <c r="UV14" s="1" t="s">
        <v>28</v>
      </c>
      <c r="UW14" s="1">
        <v>270564.75920144952</v>
      </c>
      <c r="UX14" s="1">
        <v>10632926.743356841</v>
      </c>
      <c r="UY14" s="1">
        <v>2.5445934664272099E-2</v>
      </c>
      <c r="UZ14" s="1"/>
      <c r="VA14" s="22">
        <v>13069</v>
      </c>
      <c r="VB14" s="1" t="s">
        <v>51</v>
      </c>
      <c r="VC14" s="1">
        <v>2023</v>
      </c>
      <c r="VD14" s="1" t="s">
        <v>28</v>
      </c>
      <c r="VE14" s="1">
        <v>194568.02947396549</v>
      </c>
      <c r="VF14" s="1">
        <v>5258125.7228930313</v>
      </c>
      <c r="VG14" s="1">
        <v>3.7003304927998901E-2</v>
      </c>
      <c r="VH14" s="1"/>
      <c r="VI14" s="22">
        <v>13989</v>
      </c>
      <c r="VJ14" s="1" t="s">
        <v>57</v>
      </c>
      <c r="VK14" s="1">
        <v>2023</v>
      </c>
      <c r="VL14" s="1" t="s">
        <v>28</v>
      </c>
      <c r="VM14" s="1">
        <v>235126.64189138601</v>
      </c>
      <c r="VN14" s="1">
        <v>9238375.7834414635</v>
      </c>
      <c r="VO14" s="1">
        <v>2.54510800819359E-2</v>
      </c>
      <c r="VP14" s="1"/>
      <c r="VQ14" s="22">
        <v>8515</v>
      </c>
      <c r="VR14" s="1" t="s">
        <v>17</v>
      </c>
      <c r="VS14" s="1">
        <v>2024</v>
      </c>
      <c r="VT14" s="1" t="s">
        <v>28</v>
      </c>
      <c r="VU14" s="1">
        <v>137103.02156817709</v>
      </c>
      <c r="VV14" s="1">
        <v>5123318.5714479852</v>
      </c>
      <c r="VW14" s="1">
        <v>2.6760588797316999E-2</v>
      </c>
      <c r="VX14" s="1"/>
      <c r="VY14" s="22">
        <v>9435</v>
      </c>
      <c r="VZ14" s="1" t="s">
        <v>61</v>
      </c>
      <c r="WA14" s="1">
        <v>2024</v>
      </c>
      <c r="WB14" s="1" t="s">
        <v>28</v>
      </c>
      <c r="WC14" s="1">
        <v>1338291.144229444</v>
      </c>
      <c r="WD14" s="1">
        <v>64811890.820126347</v>
      </c>
      <c r="WE14" s="1">
        <v>2.0648852043888499E-2</v>
      </c>
      <c r="WF14" s="1"/>
      <c r="WG14" s="22">
        <v>10355</v>
      </c>
      <c r="WH14" s="1" t="s">
        <v>44</v>
      </c>
      <c r="WI14" s="1">
        <v>2024</v>
      </c>
      <c r="WJ14" s="1" t="s">
        <v>28</v>
      </c>
      <c r="WK14" s="1">
        <v>169468.67215976049</v>
      </c>
      <c r="WL14" s="1">
        <v>8046732.0684004631</v>
      </c>
      <c r="WM14" s="1">
        <v>2.10605585869156E-2</v>
      </c>
      <c r="WN14" s="1"/>
      <c r="WO14" s="22">
        <v>11275</v>
      </c>
      <c r="WP14" s="1" t="s">
        <v>38</v>
      </c>
      <c r="WQ14" s="1">
        <v>2024</v>
      </c>
      <c r="WR14" s="1" t="s">
        <v>28</v>
      </c>
      <c r="WS14" s="1">
        <v>222557.80251592729</v>
      </c>
      <c r="WT14" s="1">
        <v>7153354.2877160665</v>
      </c>
      <c r="WU14" s="1">
        <v>3.1112369605138902E-2</v>
      </c>
      <c r="WV14" s="1"/>
      <c r="WW14" s="22">
        <v>12195</v>
      </c>
      <c r="WX14" s="1" t="s">
        <v>31</v>
      </c>
      <c r="WY14" s="1">
        <v>2024</v>
      </c>
      <c r="WZ14" s="1" t="s">
        <v>28</v>
      </c>
      <c r="XA14" s="1">
        <v>278589.57472780137</v>
      </c>
      <c r="XB14" s="1">
        <v>10948294.03609846</v>
      </c>
      <c r="XC14" s="1">
        <v>2.5445934664272099E-2</v>
      </c>
      <c r="XD14" s="1"/>
      <c r="XE14" s="22">
        <v>13115</v>
      </c>
      <c r="XF14" s="1" t="s">
        <v>51</v>
      </c>
      <c r="XG14" s="1">
        <v>2024</v>
      </c>
      <c r="XH14" s="1" t="s">
        <v>28</v>
      </c>
      <c r="XI14" s="1">
        <v>200322.47681600839</v>
      </c>
      <c r="XJ14" s="1">
        <v>5413637.436055948</v>
      </c>
      <c r="XK14" s="1">
        <v>3.7003304927998901E-2</v>
      </c>
      <c r="XL14" s="1"/>
      <c r="XM14" s="22">
        <v>14035</v>
      </c>
      <c r="XN14" s="1" t="s">
        <v>57</v>
      </c>
      <c r="XO14" s="1">
        <v>2024</v>
      </c>
      <c r="XP14" s="1" t="s">
        <v>28</v>
      </c>
      <c r="XQ14" s="1">
        <v>224692.8647193248</v>
      </c>
      <c r="XR14" s="1">
        <v>8828421.583522588</v>
      </c>
      <c r="XS14" s="1">
        <v>2.54510800819359E-2</v>
      </c>
      <c r="XT14" s="1"/>
    </row>
    <row r="15" spans="1:644" x14ac:dyDescent="0.25">
      <c r="A15" s="2">
        <v>6</v>
      </c>
      <c r="B15" s="1" t="s">
        <v>17</v>
      </c>
      <c r="C15" s="1" t="s">
        <v>30</v>
      </c>
      <c r="D15" s="1">
        <v>1.380235425939865E-3</v>
      </c>
      <c r="E15" s="1">
        <v>1.462167190444421E-3</v>
      </c>
      <c r="F15" s="1">
        <v>1.461508855297688E-3</v>
      </c>
      <c r="G15" s="1">
        <v>1.429671545194544E-3</v>
      </c>
      <c r="H15" s="1">
        <v>1.408213904052323E-3</v>
      </c>
      <c r="I15" s="1">
        <v>1.384562797320475E-3</v>
      </c>
      <c r="J15" s="1">
        <v>1.222114324364107E-3</v>
      </c>
      <c r="K15" s="1">
        <v>1.222114324364102E-3</v>
      </c>
      <c r="L15" s="1">
        <v>1.222114324364102E-3</v>
      </c>
      <c r="M15" s="1">
        <v>1.222114324364102E-3</v>
      </c>
      <c r="N15" s="1">
        <v>1.2221143243641029E-3</v>
      </c>
      <c r="O15" s="1">
        <v>1.33063012182453E-3</v>
      </c>
      <c r="P15" s="1"/>
      <c r="Q15" s="2">
        <v>62</v>
      </c>
      <c r="R15" s="1" t="s">
        <v>31</v>
      </c>
      <c r="S15" s="16" t="s">
        <v>19</v>
      </c>
      <c r="T15" s="16">
        <v>1.1463553222480379E-2</v>
      </c>
      <c r="U15" s="1"/>
      <c r="V15" s="2" t="s">
        <v>61</v>
      </c>
      <c r="W15" s="19">
        <v>1.3870275562867809E-2</v>
      </c>
      <c r="X15" s="16">
        <v>8.9880597944019952E-3</v>
      </c>
      <c r="Y15" s="18">
        <v>9.0941648562849586E-2</v>
      </c>
      <c r="Z15" s="17">
        <v>7.7808363683172441E-2</v>
      </c>
      <c r="AA15" s="1">
        <f t="shared" si="0"/>
        <v>0.19160834760329182</v>
      </c>
      <c r="AC15" s="22">
        <v>880</v>
      </c>
      <c r="AD15" s="1" t="s">
        <v>17</v>
      </c>
      <c r="AE15" s="1">
        <v>2014</v>
      </c>
      <c r="AF15" s="1" t="s">
        <v>30</v>
      </c>
      <c r="AG15" s="1">
        <v>5642.7</v>
      </c>
      <c r="AH15" s="1">
        <v>4088215.6</v>
      </c>
      <c r="AI15" s="1">
        <v>1.3802354259398E-3</v>
      </c>
      <c r="AJ15" s="1"/>
      <c r="AK15" s="22">
        <v>2076</v>
      </c>
      <c r="AL15" s="1" t="s">
        <v>61</v>
      </c>
      <c r="AM15" s="1">
        <v>2014</v>
      </c>
      <c r="AN15" s="1" t="s">
        <v>30</v>
      </c>
      <c r="AO15" s="1">
        <v>74804.5</v>
      </c>
      <c r="AP15" s="1">
        <v>40350049.200000003</v>
      </c>
      <c r="AQ15" s="1">
        <v>1.8538886936474001E-3</v>
      </c>
      <c r="AR15" s="1"/>
      <c r="AS15" s="22">
        <v>3272</v>
      </c>
      <c r="AT15" s="1" t="s">
        <v>44</v>
      </c>
      <c r="AU15" s="1">
        <v>2014</v>
      </c>
      <c r="AV15" s="1" t="s">
        <v>30</v>
      </c>
      <c r="AW15" s="1">
        <v>18728.7</v>
      </c>
      <c r="AX15" s="1">
        <v>6735816.8000000007</v>
      </c>
      <c r="AY15" s="1">
        <v>2.7804645755804E-3</v>
      </c>
      <c r="AZ15" s="1"/>
      <c r="BA15" s="22">
        <v>4468</v>
      </c>
      <c r="BB15" s="1" t="s">
        <v>38</v>
      </c>
      <c r="BC15" s="1">
        <v>2014</v>
      </c>
      <c r="BD15" s="1" t="s">
        <v>30</v>
      </c>
      <c r="BE15" s="1">
        <v>26184.6</v>
      </c>
      <c r="BF15" s="1">
        <v>6538596.7000000002</v>
      </c>
      <c r="BG15" s="1">
        <v>4.0046207468338998E-3</v>
      </c>
      <c r="BH15" s="1"/>
      <c r="BI15" s="22">
        <v>5664</v>
      </c>
      <c r="BJ15" s="1" t="s">
        <v>31</v>
      </c>
      <c r="BK15" s="1">
        <v>2014</v>
      </c>
      <c r="BL15" s="1" t="s">
        <v>30</v>
      </c>
      <c r="BM15" s="1">
        <v>31250.5</v>
      </c>
      <c r="BN15" s="1">
        <v>9155477.5</v>
      </c>
      <c r="BO15" s="1">
        <v>3.4133118671309001E-3</v>
      </c>
      <c r="BP15" s="1"/>
      <c r="BQ15" s="22">
        <v>6860</v>
      </c>
      <c r="BR15" s="1" t="s">
        <v>51</v>
      </c>
      <c r="BS15" s="1">
        <v>2014</v>
      </c>
      <c r="BT15" s="1" t="s">
        <v>30</v>
      </c>
      <c r="BU15" s="1">
        <v>110302.39999999999</v>
      </c>
      <c r="BV15" s="1">
        <v>4981875.5</v>
      </c>
      <c r="BW15" s="1">
        <v>2.2140737961034902E-2</v>
      </c>
      <c r="BX15" s="1"/>
      <c r="BY15" s="22">
        <v>8056</v>
      </c>
      <c r="BZ15" s="1" t="s">
        <v>57</v>
      </c>
      <c r="CA15" s="1">
        <v>2014</v>
      </c>
      <c r="CB15" s="1" t="s">
        <v>30</v>
      </c>
      <c r="CC15" s="1">
        <v>35666.199999999997</v>
      </c>
      <c r="CD15" s="1">
        <v>11026913.800000001</v>
      </c>
      <c r="CE15" s="1">
        <v>3.2344680158830998E-3</v>
      </c>
      <c r="CF15" s="1"/>
      <c r="CG15" s="22">
        <v>926</v>
      </c>
      <c r="CH15" s="1" t="s">
        <v>17</v>
      </c>
      <c r="CI15" s="1">
        <v>2015</v>
      </c>
      <c r="CJ15" s="1" t="s">
        <v>30</v>
      </c>
      <c r="CK15" s="1">
        <v>5198.2</v>
      </c>
      <c r="CL15" s="1">
        <v>3555133.8</v>
      </c>
      <c r="CM15" s="1">
        <v>1.4621671904443999E-3</v>
      </c>
      <c r="CN15" s="1"/>
      <c r="CO15" s="22">
        <v>2122</v>
      </c>
      <c r="CP15" s="1" t="s">
        <v>61</v>
      </c>
      <c r="CQ15" s="1">
        <v>2015</v>
      </c>
      <c r="CR15" s="1" t="s">
        <v>30</v>
      </c>
      <c r="CS15" s="1">
        <v>72098.899999999994</v>
      </c>
      <c r="CT15" s="1">
        <v>41208556.399999999</v>
      </c>
      <c r="CU15" s="1">
        <v>1.7496099426573999E-3</v>
      </c>
      <c r="CV15" s="1"/>
      <c r="CW15" s="22">
        <v>3318</v>
      </c>
      <c r="CX15" s="1" t="s">
        <v>44</v>
      </c>
      <c r="CY15" s="1">
        <v>2015</v>
      </c>
      <c r="CZ15" s="1" t="s">
        <v>30</v>
      </c>
      <c r="DA15" s="1">
        <v>17892.099999999999</v>
      </c>
      <c r="DB15" s="1">
        <v>6404349.4000000004</v>
      </c>
      <c r="DC15" s="1">
        <v>2.7937420153871999E-3</v>
      </c>
      <c r="DD15" s="1"/>
      <c r="DE15" s="22">
        <v>4514</v>
      </c>
      <c r="DF15" s="1" t="s">
        <v>38</v>
      </c>
      <c r="DG15" s="1">
        <v>2015</v>
      </c>
      <c r="DH15" s="1" t="s">
        <v>30</v>
      </c>
      <c r="DI15" s="1">
        <v>23262.3</v>
      </c>
      <c r="DJ15" s="1">
        <v>5531517.5999999996</v>
      </c>
      <c r="DK15" s="1">
        <v>4.2054101030067998E-3</v>
      </c>
      <c r="DL15" s="1"/>
      <c r="DM15" s="22">
        <v>5710</v>
      </c>
      <c r="DN15" s="1" t="s">
        <v>31</v>
      </c>
      <c r="DO15" s="1">
        <v>2015</v>
      </c>
      <c r="DP15" s="1" t="s">
        <v>30</v>
      </c>
      <c r="DQ15" s="1">
        <v>24962.9</v>
      </c>
      <c r="DR15" s="1">
        <v>7894528</v>
      </c>
      <c r="DS15" s="1">
        <v>3.1620509801218999E-3</v>
      </c>
      <c r="DT15" s="1"/>
      <c r="DU15" s="22">
        <v>6906</v>
      </c>
      <c r="DV15" s="1" t="s">
        <v>51</v>
      </c>
      <c r="DW15" s="1">
        <v>2015</v>
      </c>
      <c r="DX15" s="1" t="s">
        <v>30</v>
      </c>
      <c r="DY15" s="1">
        <v>91537.600000000006</v>
      </c>
      <c r="DZ15" s="1">
        <v>4209274.5999999996</v>
      </c>
      <c r="EA15" s="1">
        <v>2.1746644896961501E-2</v>
      </c>
      <c r="EB15" s="1"/>
      <c r="EC15" s="22">
        <v>8102</v>
      </c>
      <c r="ED15" s="1" t="s">
        <v>57</v>
      </c>
      <c r="EE15" s="1">
        <v>2015</v>
      </c>
      <c r="EF15" s="1" t="s">
        <v>30</v>
      </c>
      <c r="EG15" s="1">
        <v>33637.1</v>
      </c>
      <c r="EH15" s="1">
        <v>9729477.0999999996</v>
      </c>
      <c r="EI15" s="1">
        <v>3.4572361550652998E-3</v>
      </c>
      <c r="EJ15" s="1"/>
      <c r="EK15" s="22">
        <v>972</v>
      </c>
      <c r="EL15" s="1" t="s">
        <v>17</v>
      </c>
      <c r="EM15" s="1">
        <v>2016</v>
      </c>
      <c r="EN15" s="1" t="s">
        <v>30</v>
      </c>
      <c r="EO15" s="1">
        <v>5061.8</v>
      </c>
      <c r="EP15" s="1">
        <v>3463407</v>
      </c>
      <c r="EQ15" s="1">
        <v>1.4615088552975999E-3</v>
      </c>
      <c r="ER15" s="1"/>
      <c r="ES15" s="22">
        <v>2168</v>
      </c>
      <c r="ET15" s="1" t="s">
        <v>61</v>
      </c>
      <c r="EU15" s="1">
        <v>2016</v>
      </c>
      <c r="EV15" s="1" t="s">
        <v>30</v>
      </c>
      <c r="EW15" s="1">
        <v>71215.7</v>
      </c>
      <c r="EX15" s="1">
        <v>42141395.200000003</v>
      </c>
      <c r="EY15" s="1">
        <v>1.6899226915012E-3</v>
      </c>
      <c r="EZ15" s="1"/>
      <c r="FA15" s="22">
        <v>3364</v>
      </c>
      <c r="FB15" s="1" t="s">
        <v>44</v>
      </c>
      <c r="FC15" s="1">
        <v>2016</v>
      </c>
      <c r="FD15" s="1" t="s">
        <v>30</v>
      </c>
      <c r="FE15" s="1">
        <v>15285.3</v>
      </c>
      <c r="FF15" s="1">
        <v>5868597.7999999998</v>
      </c>
      <c r="FG15" s="1">
        <v>2.6045915090653999E-3</v>
      </c>
      <c r="FH15" s="1"/>
      <c r="FI15" s="22">
        <v>4560</v>
      </c>
      <c r="FJ15" s="1" t="s">
        <v>38</v>
      </c>
      <c r="FK15" s="1">
        <v>2016</v>
      </c>
      <c r="FL15" s="1" t="s">
        <v>30</v>
      </c>
      <c r="FM15" s="1">
        <v>23216.2</v>
      </c>
      <c r="FN15" s="1">
        <v>5582986.5</v>
      </c>
      <c r="FO15" s="1">
        <v>4.1583836894464998E-3</v>
      </c>
      <c r="FP15" s="1"/>
      <c r="FQ15" s="22">
        <v>5756</v>
      </c>
      <c r="FR15" s="1" t="s">
        <v>31</v>
      </c>
      <c r="FS15" s="1">
        <v>2016</v>
      </c>
      <c r="FT15" s="1" t="s">
        <v>30</v>
      </c>
      <c r="FU15" s="1">
        <v>25342.1</v>
      </c>
      <c r="FV15" s="1">
        <v>8130820.9000000004</v>
      </c>
      <c r="FW15" s="1">
        <v>3.1167947629986001E-3</v>
      </c>
      <c r="FX15" s="1"/>
      <c r="FY15" s="22">
        <v>6952</v>
      </c>
      <c r="FZ15" s="1" t="s">
        <v>51</v>
      </c>
      <c r="GA15" s="1">
        <v>2016</v>
      </c>
      <c r="GB15" s="1" t="s">
        <v>30</v>
      </c>
      <c r="GC15" s="1">
        <v>89808.9</v>
      </c>
      <c r="GD15" s="1">
        <v>4230502.5999999996</v>
      </c>
      <c r="GE15" s="1">
        <v>2.1228896065446201E-2</v>
      </c>
      <c r="GF15" s="1"/>
      <c r="GG15" s="22">
        <v>8148</v>
      </c>
      <c r="GH15" s="1" t="s">
        <v>57</v>
      </c>
      <c r="GI15" s="1">
        <v>2016</v>
      </c>
      <c r="GJ15" s="1" t="s">
        <v>30</v>
      </c>
      <c r="GK15" s="1">
        <v>34411.4</v>
      </c>
      <c r="GL15" s="1">
        <v>10773649.5</v>
      </c>
      <c r="GM15" s="1">
        <v>3.1940337394492E-3</v>
      </c>
      <c r="GN15" s="1"/>
      <c r="GO15" s="22">
        <v>1018</v>
      </c>
      <c r="GP15" s="1" t="s">
        <v>17</v>
      </c>
      <c r="GQ15" s="1">
        <v>2017</v>
      </c>
      <c r="GR15" s="1" t="s">
        <v>30</v>
      </c>
      <c r="GS15" s="1">
        <v>5318</v>
      </c>
      <c r="GT15" s="1">
        <v>3719735.5</v>
      </c>
      <c r="GU15" s="1">
        <v>1.4296715451945E-3</v>
      </c>
      <c r="GV15" s="1"/>
      <c r="GW15" s="22">
        <v>2214</v>
      </c>
      <c r="GX15" s="1" t="s">
        <v>61</v>
      </c>
      <c r="GY15" s="1">
        <v>2017</v>
      </c>
      <c r="GZ15" s="1" t="s">
        <v>30</v>
      </c>
      <c r="HA15" s="1">
        <v>67472.3</v>
      </c>
      <c r="HB15" s="1">
        <v>44107004.100000001</v>
      </c>
      <c r="HC15" s="1">
        <v>1.5297411687047E-3</v>
      </c>
      <c r="HD15" s="1"/>
      <c r="HE15" s="22">
        <v>3410</v>
      </c>
      <c r="HF15" s="1" t="s">
        <v>44</v>
      </c>
      <c r="HG15" s="1">
        <v>2017</v>
      </c>
      <c r="HH15" s="1" t="s">
        <v>30</v>
      </c>
      <c r="HI15" s="1">
        <v>15650.4</v>
      </c>
      <c r="HJ15" s="1">
        <v>5855367.5</v>
      </c>
      <c r="HK15" s="1">
        <v>2.6728296729453E-3</v>
      </c>
      <c r="HL15" s="1"/>
      <c r="HM15" s="22">
        <v>4606</v>
      </c>
      <c r="HN15" s="1" t="s">
        <v>38</v>
      </c>
      <c r="HO15" s="1">
        <v>2017</v>
      </c>
      <c r="HP15" s="1" t="s">
        <v>30</v>
      </c>
      <c r="HQ15" s="1">
        <v>24864.2</v>
      </c>
      <c r="HR15" s="1">
        <v>5923445.7000000002</v>
      </c>
      <c r="HS15" s="1">
        <v>4.1975906016999001E-3</v>
      </c>
      <c r="HT15" s="1"/>
      <c r="HU15" s="22">
        <v>5802</v>
      </c>
      <c r="HV15" s="1" t="s">
        <v>31</v>
      </c>
      <c r="HW15" s="1">
        <v>2017</v>
      </c>
      <c r="HX15" s="1" t="s">
        <v>30</v>
      </c>
      <c r="HY15" s="1">
        <v>26375.8</v>
      </c>
      <c r="HZ15" s="1">
        <v>8686095.3000000007</v>
      </c>
      <c r="IA15" s="1">
        <v>3.0365542961519002E-3</v>
      </c>
      <c r="IB15" s="1"/>
      <c r="IC15" s="22">
        <v>6998</v>
      </c>
      <c r="ID15" s="1" t="s">
        <v>51</v>
      </c>
      <c r="IE15" s="1">
        <v>2017</v>
      </c>
      <c r="IF15" s="1" t="s">
        <v>30</v>
      </c>
      <c r="IG15" s="1">
        <v>93749.1</v>
      </c>
      <c r="IH15" s="1">
        <v>4472691.8</v>
      </c>
      <c r="II15" s="1">
        <v>2.09603308683151E-2</v>
      </c>
      <c r="IJ15" s="1"/>
      <c r="IK15" s="22">
        <v>8194</v>
      </c>
      <c r="IL15" s="1" t="s">
        <v>57</v>
      </c>
      <c r="IM15" s="1">
        <v>2017</v>
      </c>
      <c r="IN15" s="1" t="s">
        <v>30</v>
      </c>
      <c r="IO15" s="1">
        <v>32911.300000000003</v>
      </c>
      <c r="IP15" s="1">
        <v>10750260.5</v>
      </c>
      <c r="IQ15" s="1">
        <v>3.0614420924962001E-3</v>
      </c>
      <c r="IR15" s="1"/>
      <c r="IS15" s="22">
        <v>1064</v>
      </c>
      <c r="IT15" s="1" t="s">
        <v>17</v>
      </c>
      <c r="IU15" s="1">
        <v>2018</v>
      </c>
      <c r="IV15" s="1" t="s">
        <v>30</v>
      </c>
      <c r="IW15" s="1">
        <v>5497.9</v>
      </c>
      <c r="IX15" s="1">
        <v>3904165.4</v>
      </c>
      <c r="IY15" s="1">
        <v>1.4082139040523E-3</v>
      </c>
      <c r="IZ15" s="1"/>
      <c r="JA15" s="22">
        <v>2260</v>
      </c>
      <c r="JB15" s="1" t="s">
        <v>61</v>
      </c>
      <c r="JC15" s="1">
        <v>2018</v>
      </c>
      <c r="JD15" s="1" t="s">
        <v>30</v>
      </c>
      <c r="JE15" s="1">
        <v>67616.800000000003</v>
      </c>
      <c r="JF15" s="1">
        <v>46669099.200000003</v>
      </c>
      <c r="JG15" s="1">
        <v>1.4488559059224E-3</v>
      </c>
      <c r="JH15" s="1"/>
      <c r="JI15" s="22">
        <v>3456</v>
      </c>
      <c r="JJ15" s="1" t="s">
        <v>44</v>
      </c>
      <c r="JK15" s="1">
        <v>2018</v>
      </c>
      <c r="JL15" s="1" t="s">
        <v>30</v>
      </c>
      <c r="JM15" s="1">
        <v>16499.599999999999</v>
      </c>
      <c r="JN15" s="1">
        <v>6336724.7000000002</v>
      </c>
      <c r="JO15" s="1">
        <v>2.6038057168555001E-3</v>
      </c>
      <c r="JP15" s="1"/>
      <c r="JQ15" s="22">
        <v>4652</v>
      </c>
      <c r="JR15" s="1" t="s">
        <v>38</v>
      </c>
      <c r="JS15" s="1">
        <v>2018</v>
      </c>
      <c r="JT15" s="1" t="s">
        <v>30</v>
      </c>
      <c r="JU15" s="1">
        <v>28365.5</v>
      </c>
      <c r="JV15" s="1">
        <v>6390706</v>
      </c>
      <c r="JW15" s="1">
        <v>4.4385549890731003E-3</v>
      </c>
      <c r="JX15" s="1"/>
      <c r="JY15" s="22">
        <v>5848</v>
      </c>
      <c r="JZ15" s="1" t="s">
        <v>31</v>
      </c>
      <c r="KA15" s="1">
        <v>2018</v>
      </c>
      <c r="KB15" s="1" t="s">
        <v>30</v>
      </c>
      <c r="KC15" s="1">
        <v>27537.7</v>
      </c>
      <c r="KD15" s="1">
        <v>9443218.3000000007</v>
      </c>
      <c r="KE15" s="1">
        <v>2.9161350638266998E-3</v>
      </c>
      <c r="KF15" s="1"/>
      <c r="KG15" s="22">
        <v>7044</v>
      </c>
      <c r="KH15" s="1" t="s">
        <v>51</v>
      </c>
      <c r="KI15" s="1">
        <v>2018</v>
      </c>
      <c r="KJ15" s="1" t="s">
        <v>30</v>
      </c>
      <c r="KK15" s="1">
        <v>101854.3</v>
      </c>
      <c r="KL15" s="1">
        <v>4803387.8</v>
      </c>
      <c r="KM15" s="1">
        <v>2.1204679747073501E-2</v>
      </c>
      <c r="KN15" s="1"/>
      <c r="KO15" s="22">
        <v>8240</v>
      </c>
      <c r="KP15" s="1" t="s">
        <v>57</v>
      </c>
      <c r="KQ15" s="1">
        <v>2018</v>
      </c>
      <c r="KR15" s="1" t="s">
        <v>30</v>
      </c>
      <c r="KS15" s="1">
        <v>34142.699999999997</v>
      </c>
      <c r="KT15" s="1">
        <v>11172914.4</v>
      </c>
      <c r="KU15" s="1">
        <v>3.0558454828938002E-3</v>
      </c>
      <c r="KV15" s="1"/>
      <c r="KW15" s="22">
        <v>1110</v>
      </c>
      <c r="KX15" s="1" t="s">
        <v>17</v>
      </c>
      <c r="KY15" s="1">
        <v>2019</v>
      </c>
      <c r="KZ15" s="1" t="s">
        <v>30</v>
      </c>
      <c r="LA15" s="1">
        <v>5476.4</v>
      </c>
      <c r="LB15" s="1">
        <v>3955328</v>
      </c>
      <c r="LC15" s="1">
        <v>1.3845627973204E-3</v>
      </c>
      <c r="LD15" s="1"/>
      <c r="LE15" s="22">
        <v>2306</v>
      </c>
      <c r="LF15" s="1" t="s">
        <v>61</v>
      </c>
      <c r="LG15" s="1">
        <v>2019</v>
      </c>
      <c r="LH15" s="1" t="s">
        <v>30</v>
      </c>
      <c r="LI15" s="1">
        <v>67536.5</v>
      </c>
      <c r="LJ15" s="1">
        <v>48356774.5</v>
      </c>
      <c r="LK15" s="1">
        <v>1.3966295456699E-3</v>
      </c>
      <c r="LL15" s="1"/>
      <c r="LM15" s="22">
        <v>3502</v>
      </c>
      <c r="LN15" s="1" t="s">
        <v>44</v>
      </c>
      <c r="LO15" s="1">
        <v>2019</v>
      </c>
      <c r="LP15" s="1" t="s">
        <v>30</v>
      </c>
      <c r="LQ15" s="1">
        <v>15512.2</v>
      </c>
      <c r="LR15" s="1">
        <v>6269787.0999999996</v>
      </c>
      <c r="LS15" s="1">
        <v>2.4741190972816002E-3</v>
      </c>
      <c r="LT15" s="1"/>
      <c r="LU15" s="22">
        <v>4698</v>
      </c>
      <c r="LV15" s="1" t="s">
        <v>38</v>
      </c>
      <c r="LW15" s="1">
        <v>2019</v>
      </c>
      <c r="LX15" s="1" t="s">
        <v>30</v>
      </c>
      <c r="LY15" s="1">
        <v>28606.799999999999</v>
      </c>
      <c r="LZ15" s="1">
        <v>6182094.5</v>
      </c>
      <c r="MA15" s="1">
        <v>4.6273637518805004E-3</v>
      </c>
      <c r="MB15" s="1"/>
      <c r="MC15" s="22">
        <v>5894</v>
      </c>
      <c r="MD15" s="1" t="s">
        <v>31</v>
      </c>
      <c r="ME15" s="1">
        <v>2019</v>
      </c>
      <c r="MF15" s="1" t="s">
        <v>30</v>
      </c>
      <c r="MG15" s="1">
        <v>26271.7</v>
      </c>
      <c r="MH15" s="1">
        <v>9237079</v>
      </c>
      <c r="MI15" s="1">
        <v>2.8441566863290002E-3</v>
      </c>
      <c r="MJ15" s="1"/>
      <c r="MK15" s="22">
        <v>7090</v>
      </c>
      <c r="ML15" s="1" t="s">
        <v>51</v>
      </c>
      <c r="MM15" s="1">
        <v>2019</v>
      </c>
      <c r="MN15" s="1" t="s">
        <v>30</v>
      </c>
      <c r="MO15" s="1">
        <v>95997.1</v>
      </c>
      <c r="MP15" s="1">
        <v>4608662</v>
      </c>
      <c r="MQ15" s="1">
        <v>2.08297115301577E-2</v>
      </c>
      <c r="MR15" s="1"/>
      <c r="MS15" s="22">
        <v>8286</v>
      </c>
      <c r="MT15" s="1" t="s">
        <v>57</v>
      </c>
      <c r="MU15" s="1">
        <v>2019</v>
      </c>
      <c r="MV15" s="1" t="s">
        <v>30</v>
      </c>
      <c r="MW15" s="1">
        <v>33352.1</v>
      </c>
      <c r="MX15" s="1">
        <v>11338077</v>
      </c>
      <c r="MY15" s="1">
        <v>2.9416011198371002E-3</v>
      </c>
      <c r="MZ15" s="1"/>
      <c r="NA15" s="22">
        <v>1156</v>
      </c>
      <c r="NB15" s="1" t="s">
        <v>17</v>
      </c>
      <c r="NC15" s="1">
        <v>2020</v>
      </c>
      <c r="ND15" s="1" t="s">
        <v>30</v>
      </c>
      <c r="NE15" s="1">
        <v>4625.3999999999996</v>
      </c>
      <c r="NF15" s="1">
        <v>3784752.3</v>
      </c>
      <c r="NG15" s="1">
        <v>1.2221143243641001E-3</v>
      </c>
      <c r="NH15" s="1"/>
      <c r="NI15" s="22">
        <v>2352</v>
      </c>
      <c r="NJ15" s="1" t="s">
        <v>61</v>
      </c>
      <c r="NK15" s="1">
        <v>2020</v>
      </c>
      <c r="NL15" s="1" t="s">
        <v>30</v>
      </c>
      <c r="NM15" s="1">
        <v>63689.9</v>
      </c>
      <c r="NN15" s="1">
        <v>47421769.399999999</v>
      </c>
      <c r="NO15" s="1">
        <v>1.3430519528442001E-3</v>
      </c>
      <c r="NP15" s="1"/>
      <c r="NQ15" s="22">
        <v>3548</v>
      </c>
      <c r="NR15" s="1" t="s">
        <v>44</v>
      </c>
      <c r="NS15" s="1">
        <v>2020</v>
      </c>
      <c r="NT15" s="1" t="s">
        <v>30</v>
      </c>
      <c r="NU15" s="1">
        <v>12742.3</v>
      </c>
      <c r="NV15" s="1">
        <v>5955345.3666666672</v>
      </c>
      <c r="NW15" s="1">
        <v>2.1396408126589999E-3</v>
      </c>
      <c r="NX15" s="1"/>
      <c r="NY15" s="22">
        <v>4744</v>
      </c>
      <c r="NZ15" s="1" t="s">
        <v>38</v>
      </c>
      <c r="OA15" s="1">
        <v>2020</v>
      </c>
      <c r="OB15" s="1" t="s">
        <v>30</v>
      </c>
      <c r="OC15" s="1">
        <v>24363.200000000001</v>
      </c>
      <c r="OD15" s="1">
        <v>5990228.4000000004</v>
      </c>
      <c r="OE15" s="1">
        <v>4.0671571053950998E-3</v>
      </c>
      <c r="OF15" s="1"/>
      <c r="OG15" s="22">
        <v>5940</v>
      </c>
      <c r="OH15" s="1" t="s">
        <v>31</v>
      </c>
      <c r="OI15" s="1">
        <v>2020</v>
      </c>
      <c r="OJ15" s="1" t="s">
        <v>30</v>
      </c>
      <c r="OK15" s="1">
        <v>24483.8</v>
      </c>
      <c r="OL15" s="1">
        <v>9257180.0999999996</v>
      </c>
      <c r="OM15" s="1">
        <v>2.6448442976710999E-3</v>
      </c>
      <c r="ON15" s="1"/>
      <c r="OO15" s="22">
        <v>7136</v>
      </c>
      <c r="OP15" s="1" t="s">
        <v>51</v>
      </c>
      <c r="OQ15" s="1">
        <v>2020</v>
      </c>
      <c r="OR15" s="1" t="s">
        <v>30</v>
      </c>
      <c r="OS15" s="1">
        <v>78924</v>
      </c>
      <c r="OT15" s="1">
        <v>4352046.4000000004</v>
      </c>
      <c r="OU15" s="1">
        <v>1.8134916943900199E-2</v>
      </c>
      <c r="OV15" s="1"/>
      <c r="OW15" s="22">
        <v>8332</v>
      </c>
      <c r="OX15" s="1" t="s">
        <v>57</v>
      </c>
      <c r="OY15" s="1">
        <v>2020</v>
      </c>
      <c r="OZ15" s="1" t="s">
        <v>30</v>
      </c>
      <c r="PA15" s="1">
        <v>29794.2</v>
      </c>
      <c r="PB15" s="1">
        <v>11082248.733333331</v>
      </c>
      <c r="PC15" s="1">
        <v>2.6884615854528E-3</v>
      </c>
      <c r="PD15" s="1"/>
      <c r="PE15" s="22">
        <v>8378</v>
      </c>
      <c r="PF15" s="1" t="s">
        <v>17</v>
      </c>
      <c r="PG15" s="1">
        <v>2021</v>
      </c>
      <c r="PH15" s="1" t="s">
        <v>30</v>
      </c>
      <c r="PI15" s="1">
        <v>5649.833574120571</v>
      </c>
      <c r="PJ15" s="1">
        <v>4622999.2247741111</v>
      </c>
      <c r="PK15" s="1">
        <v>1.2221143243641001E-3</v>
      </c>
      <c r="PL15" s="1"/>
      <c r="PM15" s="22">
        <v>9298</v>
      </c>
      <c r="PN15" s="1" t="s">
        <v>61</v>
      </c>
      <c r="PO15" s="1">
        <v>2021</v>
      </c>
      <c r="PP15" s="1" t="s">
        <v>30</v>
      </c>
      <c r="PQ15" s="1">
        <v>70630.617065572267</v>
      </c>
      <c r="PR15" s="1">
        <v>52589638.782026872</v>
      </c>
      <c r="PS15" s="1">
        <v>1.3430519528442001E-3</v>
      </c>
      <c r="PT15" s="1"/>
      <c r="PU15" s="22">
        <v>10218</v>
      </c>
      <c r="PV15" s="1" t="s">
        <v>44</v>
      </c>
      <c r="PW15" s="1">
        <v>2021</v>
      </c>
      <c r="PX15" s="1" t="s">
        <v>30</v>
      </c>
      <c r="PY15" s="1">
        <v>14852.20390094816</v>
      </c>
      <c r="PZ15" s="1">
        <v>6941447.2808129201</v>
      </c>
      <c r="QA15" s="1">
        <v>2.1396408126589999E-3</v>
      </c>
      <c r="QB15" s="1"/>
      <c r="QC15" s="22">
        <v>11138</v>
      </c>
      <c r="QD15" s="1" t="s">
        <v>38</v>
      </c>
      <c r="QE15" s="1">
        <v>2021</v>
      </c>
      <c r="QF15" s="1" t="s">
        <v>30</v>
      </c>
      <c r="QG15" s="1">
        <v>27293.66991423436</v>
      </c>
      <c r="QH15" s="1">
        <v>6710748.8614170318</v>
      </c>
      <c r="QI15" s="1">
        <v>4.0671571053950998E-3</v>
      </c>
      <c r="QJ15" s="1"/>
      <c r="QK15" s="22">
        <v>12058</v>
      </c>
      <c r="QL15" s="1" t="s">
        <v>31</v>
      </c>
      <c r="QM15" s="1">
        <v>2021</v>
      </c>
      <c r="QN15" s="1" t="s">
        <v>30</v>
      </c>
      <c r="QO15" s="1">
        <v>27020.082418390539</v>
      </c>
      <c r="QP15" s="1">
        <v>10216133.49495957</v>
      </c>
      <c r="QQ15" s="1">
        <v>2.6448442976710999E-3</v>
      </c>
      <c r="QR15" s="1"/>
      <c r="QS15" s="22">
        <v>12978</v>
      </c>
      <c r="QT15" s="1" t="s">
        <v>51</v>
      </c>
      <c r="QU15" s="1">
        <v>2021</v>
      </c>
      <c r="QV15" s="1" t="s">
        <v>30</v>
      </c>
      <c r="QW15" s="1">
        <v>90167.115796757877</v>
      </c>
      <c r="QX15" s="1">
        <v>4972017.0252605537</v>
      </c>
      <c r="QY15" s="1">
        <v>1.8134916943900199E-2</v>
      </c>
      <c r="QZ15" s="1"/>
      <c r="RA15" s="22">
        <v>13898</v>
      </c>
      <c r="RB15" s="1" t="s">
        <v>57</v>
      </c>
      <c r="RC15" s="1">
        <v>2021</v>
      </c>
      <c r="RD15" s="1" t="s">
        <v>30</v>
      </c>
      <c r="RE15" s="1">
        <v>29706.245249867548</v>
      </c>
      <c r="RF15" s="1">
        <v>11049533.09007922</v>
      </c>
      <c r="RG15" s="1">
        <v>2.6884615854528E-3</v>
      </c>
      <c r="RH15" s="1"/>
      <c r="RI15" s="22">
        <v>8424</v>
      </c>
      <c r="RJ15" s="1" t="s">
        <v>17</v>
      </c>
      <c r="RK15" s="1">
        <v>2022</v>
      </c>
      <c r="RL15" s="1" t="s">
        <v>30</v>
      </c>
      <c r="RM15" s="1">
        <v>6119.2515546482064</v>
      </c>
      <c r="RN15" s="1">
        <v>5007102.3902221443</v>
      </c>
      <c r="RO15" s="1">
        <v>1.2221143243641001E-3</v>
      </c>
      <c r="RP15" s="1"/>
      <c r="RQ15" s="22">
        <v>9344</v>
      </c>
      <c r="RR15" s="1" t="s">
        <v>61</v>
      </c>
      <c r="RS15" s="1">
        <v>2022</v>
      </c>
      <c r="RT15" s="1" t="s">
        <v>30</v>
      </c>
      <c r="RU15" s="1">
        <v>77567.158546130755</v>
      </c>
      <c r="RV15" s="1">
        <v>57754399.13688051</v>
      </c>
      <c r="RW15" s="1">
        <v>1.3430519528442001E-3</v>
      </c>
      <c r="RX15" s="1"/>
      <c r="RY15" s="22">
        <v>10264</v>
      </c>
      <c r="RZ15" s="1" t="s">
        <v>44</v>
      </c>
      <c r="SA15" s="1">
        <v>2022</v>
      </c>
      <c r="SB15" s="1" t="s">
        <v>30</v>
      </c>
      <c r="SC15" s="1">
        <v>14713.855743515969</v>
      </c>
      <c r="SD15" s="1">
        <v>6876787.7563667288</v>
      </c>
      <c r="SE15" s="1">
        <v>2.1396408126589999E-3</v>
      </c>
      <c r="SF15" s="1"/>
      <c r="SG15" s="22">
        <v>11184</v>
      </c>
      <c r="SH15" s="1" t="s">
        <v>38</v>
      </c>
      <c r="SI15" s="1">
        <v>2022</v>
      </c>
      <c r="SJ15" s="1" t="s">
        <v>30</v>
      </c>
      <c r="SK15" s="1">
        <v>25728.329736812779</v>
      </c>
      <c r="SL15" s="1">
        <v>6325875.5612572851</v>
      </c>
      <c r="SM15" s="1">
        <v>4.0671571053950998E-3</v>
      </c>
      <c r="SN15" s="1"/>
      <c r="SO15" s="22">
        <v>12104</v>
      </c>
      <c r="SP15" s="1" t="s">
        <v>31</v>
      </c>
      <c r="SQ15" s="1">
        <v>2022</v>
      </c>
      <c r="SR15" s="1" t="s">
        <v>30</v>
      </c>
      <c r="SS15" s="1">
        <v>25872.367398112099</v>
      </c>
      <c r="ST15" s="1">
        <v>9782189.227885304</v>
      </c>
      <c r="SU15" s="1">
        <v>2.6448442976710999E-3</v>
      </c>
      <c r="SV15" s="1"/>
      <c r="SW15" s="22">
        <v>13024</v>
      </c>
      <c r="SX15" s="1" t="s">
        <v>51</v>
      </c>
      <c r="SY15" s="1">
        <v>2022</v>
      </c>
      <c r="SZ15" s="1" t="s">
        <v>30</v>
      </c>
      <c r="TA15" s="1">
        <v>87058.118921299145</v>
      </c>
      <c r="TB15" s="1">
        <v>4800579.963537232</v>
      </c>
      <c r="TC15" s="1">
        <v>1.8134916943900199E-2</v>
      </c>
      <c r="TD15" s="1"/>
      <c r="TE15" s="22">
        <v>13944</v>
      </c>
      <c r="TF15" s="1" t="s">
        <v>57</v>
      </c>
      <c r="TG15" s="1">
        <v>2022</v>
      </c>
      <c r="TH15" s="1" t="s">
        <v>30</v>
      </c>
      <c r="TI15" s="1">
        <v>25127.58741608217</v>
      </c>
      <c r="TJ15" s="1">
        <v>9346455.8140041605</v>
      </c>
      <c r="TK15" s="1">
        <v>2.6884615854528E-3</v>
      </c>
      <c r="TL15" s="1"/>
      <c r="TM15" s="22">
        <v>8470</v>
      </c>
      <c r="TN15" s="1" t="s">
        <v>17</v>
      </c>
      <c r="TO15" s="1">
        <v>2023</v>
      </c>
      <c r="TP15" s="1" t="s">
        <v>30</v>
      </c>
      <c r="TQ15" s="1">
        <v>6071.5638505024781</v>
      </c>
      <c r="TR15" s="1">
        <v>4968081.7329930915</v>
      </c>
      <c r="TS15" s="1">
        <v>1.2221143243641001E-3</v>
      </c>
      <c r="TT15" s="1"/>
      <c r="TU15" s="22">
        <v>9390</v>
      </c>
      <c r="TV15" s="1" t="s">
        <v>61</v>
      </c>
      <c r="TW15" s="1">
        <v>2023</v>
      </c>
      <c r="TX15" s="1" t="s">
        <v>30</v>
      </c>
      <c r="TY15" s="1">
        <v>82678.671118423445</v>
      </c>
      <c r="TZ15" s="1">
        <v>61560292.543660469</v>
      </c>
      <c r="UA15" s="1">
        <v>1.3430519528442001E-3</v>
      </c>
      <c r="UB15" s="1"/>
      <c r="UC15" s="22">
        <v>10310</v>
      </c>
      <c r="UD15" s="1" t="s">
        <v>44</v>
      </c>
      <c r="UE15" s="1">
        <v>2023</v>
      </c>
      <c r="UF15" s="1" t="s">
        <v>30</v>
      </c>
      <c r="UG15" s="1">
        <v>15922.60661900448</v>
      </c>
      <c r="UH15" s="1">
        <v>7441719.4347760417</v>
      </c>
      <c r="UI15" s="1">
        <v>2.1396408126589999E-3</v>
      </c>
      <c r="UJ15" s="1"/>
      <c r="UK15" s="22">
        <v>11230</v>
      </c>
      <c r="UL15" s="1" t="s">
        <v>38</v>
      </c>
      <c r="UM15" s="1">
        <v>2023</v>
      </c>
      <c r="UN15" s="1" t="s">
        <v>30</v>
      </c>
      <c r="UO15" s="1">
        <v>28079.422286842379</v>
      </c>
      <c r="UP15" s="1">
        <v>6903943.3587640161</v>
      </c>
      <c r="UQ15" s="1">
        <v>4.0671571053950998E-3</v>
      </c>
      <c r="UR15" s="1"/>
      <c r="US15" s="22">
        <v>12150</v>
      </c>
      <c r="UT15" s="1" t="s">
        <v>31</v>
      </c>
      <c r="UU15" s="1">
        <v>2023</v>
      </c>
      <c r="UV15" s="1" t="s">
        <v>30</v>
      </c>
      <c r="UW15" s="1">
        <v>28122.435664721859</v>
      </c>
      <c r="UX15" s="1">
        <v>10632926.743356841</v>
      </c>
      <c r="UY15" s="1">
        <v>2.6448442976710999E-3</v>
      </c>
      <c r="UZ15" s="1"/>
      <c r="VA15" s="22">
        <v>13070</v>
      </c>
      <c r="VB15" s="1" t="s">
        <v>51</v>
      </c>
      <c r="VC15" s="1">
        <v>2023</v>
      </c>
      <c r="VD15" s="1" t="s">
        <v>30</v>
      </c>
      <c r="VE15" s="1">
        <v>95355.673265250327</v>
      </c>
      <c r="VF15" s="1">
        <v>5258125.7228930313</v>
      </c>
      <c r="VG15" s="1">
        <v>1.8134916943900199E-2</v>
      </c>
      <c r="VH15" s="1"/>
      <c r="VI15" s="22">
        <v>13990</v>
      </c>
      <c r="VJ15" s="1" t="s">
        <v>57</v>
      </c>
      <c r="VK15" s="1">
        <v>2023</v>
      </c>
      <c r="VL15" s="1" t="s">
        <v>30</v>
      </c>
      <c r="VM15" s="1">
        <v>24837.018405759791</v>
      </c>
      <c r="VN15" s="1">
        <v>9238375.7834414635</v>
      </c>
      <c r="VO15" s="1">
        <v>2.6884615854528E-3</v>
      </c>
      <c r="VP15" s="1"/>
      <c r="VQ15" s="22">
        <v>8516</v>
      </c>
      <c r="VR15" s="1" t="s">
        <v>17</v>
      </c>
      <c r="VS15" s="1">
        <v>2024</v>
      </c>
      <c r="VT15" s="1" t="s">
        <v>30</v>
      </c>
      <c r="VU15" s="1">
        <v>6261.2810144472014</v>
      </c>
      <c r="VV15" s="1">
        <v>5123318.5714479852</v>
      </c>
      <c r="VW15" s="1">
        <v>1.2221143243641001E-3</v>
      </c>
      <c r="VX15" s="1"/>
      <c r="VY15" s="22">
        <v>9436</v>
      </c>
      <c r="VZ15" s="1" t="s">
        <v>61</v>
      </c>
      <c r="WA15" s="1">
        <v>2024</v>
      </c>
      <c r="WB15" s="1" t="s">
        <v>30</v>
      </c>
      <c r="WC15" s="1">
        <v>87045.736533495772</v>
      </c>
      <c r="WD15" s="1">
        <v>64811890.820126347</v>
      </c>
      <c r="WE15" s="1">
        <v>1.3430519528442001E-3</v>
      </c>
      <c r="WF15" s="1"/>
      <c r="WG15" s="22">
        <v>10356</v>
      </c>
      <c r="WH15" s="1" t="s">
        <v>44</v>
      </c>
      <c r="WI15" s="1">
        <v>2024</v>
      </c>
      <c r="WJ15" s="1" t="s">
        <v>30</v>
      </c>
      <c r="WK15" s="1">
        <v>17217.116342081601</v>
      </c>
      <c r="WL15" s="1">
        <v>8046732.0684004631</v>
      </c>
      <c r="WM15" s="1">
        <v>2.1396408126589999E-3</v>
      </c>
      <c r="WN15" s="1"/>
      <c r="WO15" s="22">
        <v>11276</v>
      </c>
      <c r="WP15" s="1" t="s">
        <v>38</v>
      </c>
      <c r="WQ15" s="1">
        <v>2024</v>
      </c>
      <c r="WR15" s="1" t="s">
        <v>30</v>
      </c>
      <c r="WS15" s="1">
        <v>29093.815718692898</v>
      </c>
      <c r="WT15" s="1">
        <v>7153354.2877160665</v>
      </c>
      <c r="WU15" s="1">
        <v>4.0671571053950998E-3</v>
      </c>
      <c r="WV15" s="1"/>
      <c r="WW15" s="22">
        <v>12196</v>
      </c>
      <c r="WX15" s="1" t="s">
        <v>31</v>
      </c>
      <c r="WY15" s="1">
        <v>2024</v>
      </c>
      <c r="WZ15" s="1" t="s">
        <v>30</v>
      </c>
      <c r="XA15" s="1">
        <v>28956.533050601531</v>
      </c>
      <c r="XB15" s="1">
        <v>10948294.03609846</v>
      </c>
      <c r="XC15" s="1">
        <v>2.6448442976710999E-3</v>
      </c>
      <c r="XD15" s="1"/>
      <c r="XE15" s="22">
        <v>13116</v>
      </c>
      <c r="XF15" s="1" t="s">
        <v>51</v>
      </c>
      <c r="XG15" s="1">
        <v>2024</v>
      </c>
      <c r="XH15" s="1" t="s">
        <v>30</v>
      </c>
      <c r="XI15" s="1">
        <v>98175.865267263434</v>
      </c>
      <c r="XJ15" s="1">
        <v>5413637.436055948</v>
      </c>
      <c r="XK15" s="1">
        <v>1.8134916943900199E-2</v>
      </c>
      <c r="XL15" s="1"/>
      <c r="XM15" s="22">
        <v>14036</v>
      </c>
      <c r="XN15" s="1" t="s">
        <v>57</v>
      </c>
      <c r="XO15" s="1">
        <v>2024</v>
      </c>
      <c r="XP15" s="1" t="s">
        <v>30</v>
      </c>
      <c r="XQ15" s="1">
        <v>23734.87228748286</v>
      </c>
      <c r="XR15" s="1">
        <v>8828421.583522588</v>
      </c>
      <c r="XS15" s="1">
        <v>2.6884615854528E-3</v>
      </c>
      <c r="XT15" s="1"/>
    </row>
    <row r="16" spans="1:644" x14ac:dyDescent="0.25">
      <c r="A16" s="2">
        <v>7</v>
      </c>
      <c r="B16" s="1" t="s">
        <v>17</v>
      </c>
      <c r="C16" s="1" t="s">
        <v>32</v>
      </c>
      <c r="D16" s="1">
        <v>6.1058912842072216E-3</v>
      </c>
      <c r="E16" s="1">
        <v>6.3887046951650586E-3</v>
      </c>
      <c r="F16" s="1">
        <v>6.8288249114239249E-3</v>
      </c>
      <c r="G16" s="1">
        <v>7.1030050389335473E-3</v>
      </c>
      <c r="H16" s="1">
        <v>7.3319127309514082E-3</v>
      </c>
      <c r="I16" s="1">
        <v>6.3241531422931294E-3</v>
      </c>
      <c r="J16" s="1">
        <v>7.3259748068585616E-3</v>
      </c>
      <c r="K16" s="1">
        <v>7.3259748068585156E-3</v>
      </c>
      <c r="L16" s="1">
        <v>7.3259748068585148E-3</v>
      </c>
      <c r="M16" s="1">
        <v>7.3259748068585156E-3</v>
      </c>
      <c r="N16" s="1">
        <v>7.3259748068585156E-3</v>
      </c>
      <c r="O16" s="1">
        <v>6.9738514397515378E-3</v>
      </c>
      <c r="P16" s="1"/>
      <c r="Q16" s="2">
        <v>71</v>
      </c>
      <c r="R16" s="1" t="s">
        <v>31</v>
      </c>
      <c r="S16" s="17" t="s">
        <v>21</v>
      </c>
      <c r="T16" s="17">
        <v>6.8286703893259582E-2</v>
      </c>
      <c r="U16" s="1"/>
      <c r="V16" s="3"/>
      <c r="W16" s="3"/>
      <c r="X16" s="3"/>
      <c r="Y16" s="3"/>
      <c r="Z16" s="3"/>
      <c r="AA16" s="3"/>
      <c r="AC16" s="22">
        <v>881</v>
      </c>
      <c r="AD16" s="1" t="s">
        <v>17</v>
      </c>
      <c r="AE16" s="1">
        <v>2014</v>
      </c>
      <c r="AF16" s="1" t="s">
        <v>32</v>
      </c>
      <c r="AG16" s="1">
        <v>24962.2</v>
      </c>
      <c r="AH16" s="1">
        <v>4088215.6</v>
      </c>
      <c r="AI16" s="1">
        <v>6.1058912842071999E-3</v>
      </c>
      <c r="AJ16" s="1"/>
      <c r="AK16" s="22">
        <v>2077</v>
      </c>
      <c r="AL16" s="1" t="s">
        <v>61</v>
      </c>
      <c r="AM16" s="1">
        <v>2014</v>
      </c>
      <c r="AN16" s="1" t="s">
        <v>32</v>
      </c>
      <c r="AO16" s="1">
        <v>97445.1</v>
      </c>
      <c r="AP16" s="1">
        <v>40350049.200000003</v>
      </c>
      <c r="AQ16" s="1">
        <v>2.4149933378518999E-3</v>
      </c>
      <c r="AR16" s="1"/>
      <c r="AS16" s="22">
        <v>3273</v>
      </c>
      <c r="AT16" s="1" t="s">
        <v>44</v>
      </c>
      <c r="AU16" s="1">
        <v>2014</v>
      </c>
      <c r="AV16" s="1" t="s">
        <v>32</v>
      </c>
      <c r="AW16" s="1">
        <v>11898.4</v>
      </c>
      <c r="AX16" s="1">
        <v>6735816.8000000007</v>
      </c>
      <c r="AY16" s="1">
        <v>1.7664375907610001E-3</v>
      </c>
      <c r="AZ16" s="1"/>
      <c r="BA16" s="22">
        <v>4469</v>
      </c>
      <c r="BB16" s="1" t="s">
        <v>38</v>
      </c>
      <c r="BC16" s="1">
        <v>2014</v>
      </c>
      <c r="BD16" s="1" t="s">
        <v>32</v>
      </c>
      <c r="BE16" s="1">
        <v>14024</v>
      </c>
      <c r="BF16" s="1">
        <v>6538596.7000000002</v>
      </c>
      <c r="BG16" s="1">
        <v>2.1448027219663E-3</v>
      </c>
      <c r="BH16" s="1"/>
      <c r="BI16" s="22">
        <v>5665</v>
      </c>
      <c r="BJ16" s="1" t="s">
        <v>31</v>
      </c>
      <c r="BK16" s="1">
        <v>2014</v>
      </c>
      <c r="BL16" s="1" t="s">
        <v>32</v>
      </c>
      <c r="BM16" s="1">
        <v>32397.5</v>
      </c>
      <c r="BN16" s="1">
        <v>9155477.5</v>
      </c>
      <c r="BO16" s="1">
        <v>3.5385920614189E-3</v>
      </c>
      <c r="BP16" s="1"/>
      <c r="BQ16" s="22">
        <v>6861</v>
      </c>
      <c r="BR16" s="1" t="s">
        <v>51</v>
      </c>
      <c r="BS16" s="1">
        <v>2014</v>
      </c>
      <c r="BT16" s="1" t="s">
        <v>32</v>
      </c>
      <c r="BU16" s="1">
        <v>19134.2</v>
      </c>
      <c r="BV16" s="1">
        <v>4981875.5</v>
      </c>
      <c r="BW16" s="1">
        <v>3.8407623795495998E-3</v>
      </c>
      <c r="BX16" s="1"/>
      <c r="BY16" s="22">
        <v>8057</v>
      </c>
      <c r="BZ16" s="1" t="s">
        <v>57</v>
      </c>
      <c r="CA16" s="1">
        <v>2014</v>
      </c>
      <c r="CB16" s="1" t="s">
        <v>32</v>
      </c>
      <c r="CC16" s="1">
        <v>20191.099999999999</v>
      </c>
      <c r="CD16" s="1">
        <v>11026913.800000001</v>
      </c>
      <c r="CE16" s="1">
        <v>1.8310744389785001E-3</v>
      </c>
      <c r="CF16" s="1"/>
      <c r="CG16" s="22">
        <v>927</v>
      </c>
      <c r="CH16" s="1" t="s">
        <v>17</v>
      </c>
      <c r="CI16" s="1">
        <v>2015</v>
      </c>
      <c r="CJ16" s="1" t="s">
        <v>32</v>
      </c>
      <c r="CK16" s="1">
        <v>22712.7</v>
      </c>
      <c r="CL16" s="1">
        <v>3555133.8</v>
      </c>
      <c r="CM16" s="1">
        <v>6.3887046951649996E-3</v>
      </c>
      <c r="CN16" s="1"/>
      <c r="CO16" s="22">
        <v>2123</v>
      </c>
      <c r="CP16" s="1" t="s">
        <v>61</v>
      </c>
      <c r="CQ16" s="1">
        <v>2015</v>
      </c>
      <c r="CR16" s="1" t="s">
        <v>32</v>
      </c>
      <c r="CS16" s="1">
        <v>100820.9</v>
      </c>
      <c r="CT16" s="1">
        <v>41208556.399999999</v>
      </c>
      <c r="CU16" s="1">
        <v>2.4466011141316998E-3</v>
      </c>
      <c r="CV16" s="1"/>
      <c r="CW16" s="22">
        <v>3319</v>
      </c>
      <c r="CX16" s="1" t="s">
        <v>44</v>
      </c>
      <c r="CY16" s="1">
        <v>2015</v>
      </c>
      <c r="CZ16" s="1" t="s">
        <v>32</v>
      </c>
      <c r="DA16" s="1">
        <v>11345.2</v>
      </c>
      <c r="DB16" s="1">
        <v>6404349.4000000004</v>
      </c>
      <c r="DC16" s="1">
        <v>1.7714836108098E-3</v>
      </c>
      <c r="DD16" s="1"/>
      <c r="DE16" s="22">
        <v>4515</v>
      </c>
      <c r="DF16" s="1" t="s">
        <v>38</v>
      </c>
      <c r="DG16" s="1">
        <v>2015</v>
      </c>
      <c r="DH16" s="1" t="s">
        <v>32</v>
      </c>
      <c r="DI16" s="1">
        <v>11160</v>
      </c>
      <c r="DJ16" s="1">
        <v>5531517.5999999996</v>
      </c>
      <c r="DK16" s="1">
        <v>2.0175295112501998E-3</v>
      </c>
      <c r="DL16" s="1"/>
      <c r="DM16" s="22">
        <v>5711</v>
      </c>
      <c r="DN16" s="1" t="s">
        <v>31</v>
      </c>
      <c r="DO16" s="1">
        <v>2015</v>
      </c>
      <c r="DP16" s="1" t="s">
        <v>32</v>
      </c>
      <c r="DQ16" s="1">
        <v>28343.200000000001</v>
      </c>
      <c r="DR16" s="1">
        <v>7894528</v>
      </c>
      <c r="DS16" s="1">
        <v>3.5902336403138002E-3</v>
      </c>
      <c r="DT16" s="1"/>
      <c r="DU16" s="22">
        <v>6907</v>
      </c>
      <c r="DV16" s="1" t="s">
        <v>51</v>
      </c>
      <c r="DW16" s="1">
        <v>2015</v>
      </c>
      <c r="DX16" s="1" t="s">
        <v>32</v>
      </c>
      <c r="DY16" s="1">
        <v>15584.1</v>
      </c>
      <c r="DZ16" s="1">
        <v>4209274.5999999996</v>
      </c>
      <c r="EA16" s="1">
        <v>3.7023243862492998E-3</v>
      </c>
      <c r="EB16" s="1"/>
      <c r="EC16" s="22">
        <v>8103</v>
      </c>
      <c r="ED16" s="1" t="s">
        <v>57</v>
      </c>
      <c r="EE16" s="1">
        <v>2015</v>
      </c>
      <c r="EF16" s="1" t="s">
        <v>32</v>
      </c>
      <c r="EG16" s="1">
        <v>18969.2</v>
      </c>
      <c r="EH16" s="1">
        <v>9729477.0999999996</v>
      </c>
      <c r="EI16" s="1">
        <v>1.9496628446764E-3</v>
      </c>
      <c r="EJ16" s="1"/>
      <c r="EK16" s="22">
        <v>973</v>
      </c>
      <c r="EL16" s="1" t="s">
        <v>17</v>
      </c>
      <c r="EM16" s="1">
        <v>2016</v>
      </c>
      <c r="EN16" s="1" t="s">
        <v>32</v>
      </c>
      <c r="EO16" s="1">
        <v>23651</v>
      </c>
      <c r="EP16" s="1">
        <v>3463407</v>
      </c>
      <c r="EQ16" s="1">
        <v>6.8288249114238997E-3</v>
      </c>
      <c r="ER16" s="1"/>
      <c r="ES16" s="22">
        <v>2169</v>
      </c>
      <c r="ET16" s="1" t="s">
        <v>61</v>
      </c>
      <c r="EU16" s="1">
        <v>2016</v>
      </c>
      <c r="EV16" s="1" t="s">
        <v>32</v>
      </c>
      <c r="EW16" s="1">
        <v>104502.8</v>
      </c>
      <c r="EX16" s="1">
        <v>42141395.200000003</v>
      </c>
      <c r="EY16" s="1">
        <v>2.4798134827771E-3</v>
      </c>
      <c r="EZ16" s="1"/>
      <c r="FA16" s="22">
        <v>3365</v>
      </c>
      <c r="FB16" s="1" t="s">
        <v>44</v>
      </c>
      <c r="FC16" s="1">
        <v>2016</v>
      </c>
      <c r="FD16" s="1" t="s">
        <v>32</v>
      </c>
      <c r="FE16" s="1">
        <v>10686.1</v>
      </c>
      <c r="FF16" s="1">
        <v>5868597.7999999998</v>
      </c>
      <c r="FG16" s="1">
        <v>1.8208949333688999E-3</v>
      </c>
      <c r="FH16" s="1"/>
      <c r="FI16" s="22">
        <v>4561</v>
      </c>
      <c r="FJ16" s="1" t="s">
        <v>38</v>
      </c>
      <c r="FK16" s="1">
        <v>2016</v>
      </c>
      <c r="FL16" s="1" t="s">
        <v>32</v>
      </c>
      <c r="FM16" s="1">
        <v>11580.2</v>
      </c>
      <c r="FN16" s="1">
        <v>5582986.5</v>
      </c>
      <c r="FO16" s="1">
        <v>2.0741945193670001E-3</v>
      </c>
      <c r="FP16" s="1"/>
      <c r="FQ16" s="22">
        <v>5757</v>
      </c>
      <c r="FR16" s="1" t="s">
        <v>31</v>
      </c>
      <c r="FS16" s="1">
        <v>2016</v>
      </c>
      <c r="FT16" s="1" t="s">
        <v>32</v>
      </c>
      <c r="FU16" s="1">
        <v>26966.400000000001</v>
      </c>
      <c r="FV16" s="1">
        <v>8130820.9000000004</v>
      </c>
      <c r="FW16" s="1">
        <v>3.3165654897158001E-3</v>
      </c>
      <c r="FX16" s="1"/>
      <c r="FY16" s="22">
        <v>6953</v>
      </c>
      <c r="FZ16" s="1" t="s">
        <v>51</v>
      </c>
      <c r="GA16" s="1">
        <v>2016</v>
      </c>
      <c r="GB16" s="1" t="s">
        <v>32</v>
      </c>
      <c r="GC16" s="1">
        <v>15838.9</v>
      </c>
      <c r="GD16" s="1">
        <v>4230502.5999999996</v>
      </c>
      <c r="GE16" s="1">
        <v>3.7439759521717001E-3</v>
      </c>
      <c r="GF16" s="1"/>
      <c r="GG16" s="22">
        <v>8149</v>
      </c>
      <c r="GH16" s="1" t="s">
        <v>57</v>
      </c>
      <c r="GI16" s="1">
        <v>2016</v>
      </c>
      <c r="GJ16" s="1" t="s">
        <v>32</v>
      </c>
      <c r="GK16" s="1">
        <v>20352.099999999999</v>
      </c>
      <c r="GL16" s="1">
        <v>10773649.5</v>
      </c>
      <c r="GM16" s="1">
        <v>1.8890627544547E-3</v>
      </c>
      <c r="GN16" s="1"/>
      <c r="GO16" s="22">
        <v>1019</v>
      </c>
      <c r="GP16" s="1" t="s">
        <v>17</v>
      </c>
      <c r="GQ16" s="1">
        <v>2017</v>
      </c>
      <c r="GR16" s="1" t="s">
        <v>32</v>
      </c>
      <c r="GS16" s="1">
        <v>26421.3</v>
      </c>
      <c r="GT16" s="1">
        <v>3719735.5</v>
      </c>
      <c r="GU16" s="1">
        <v>7.1030050389335004E-3</v>
      </c>
      <c r="GV16" s="1"/>
      <c r="GW16" s="22">
        <v>2215</v>
      </c>
      <c r="GX16" s="1" t="s">
        <v>61</v>
      </c>
      <c r="GY16" s="1">
        <v>2017</v>
      </c>
      <c r="GZ16" s="1" t="s">
        <v>32</v>
      </c>
      <c r="HA16" s="1">
        <v>111666.9</v>
      </c>
      <c r="HB16" s="1">
        <v>44107004.100000001</v>
      </c>
      <c r="HC16" s="1">
        <v>2.5317271548714998E-3</v>
      </c>
      <c r="HD16" s="1"/>
      <c r="HE16" s="22">
        <v>3411</v>
      </c>
      <c r="HF16" s="1" t="s">
        <v>44</v>
      </c>
      <c r="HG16" s="1">
        <v>2017</v>
      </c>
      <c r="HH16" s="1" t="s">
        <v>32</v>
      </c>
      <c r="HI16" s="1">
        <v>10502.2</v>
      </c>
      <c r="HJ16" s="1">
        <v>5855367.5</v>
      </c>
      <c r="HK16" s="1">
        <v>1.7936021949091999E-3</v>
      </c>
      <c r="HL16" s="1"/>
      <c r="HM16" s="22">
        <v>4607</v>
      </c>
      <c r="HN16" s="1" t="s">
        <v>38</v>
      </c>
      <c r="HO16" s="1">
        <v>2017</v>
      </c>
      <c r="HP16" s="1" t="s">
        <v>32</v>
      </c>
      <c r="HQ16" s="1">
        <v>11965.4</v>
      </c>
      <c r="HR16" s="1">
        <v>5923445.7000000002</v>
      </c>
      <c r="HS16" s="1">
        <v>2.0200066998166E-3</v>
      </c>
      <c r="HT16" s="1"/>
      <c r="HU16" s="22">
        <v>5803</v>
      </c>
      <c r="HV16" s="1" t="s">
        <v>31</v>
      </c>
      <c r="HW16" s="1">
        <v>2017</v>
      </c>
      <c r="HX16" s="1" t="s">
        <v>32</v>
      </c>
      <c r="HY16" s="1">
        <v>27503.7</v>
      </c>
      <c r="HZ16" s="1">
        <v>8686095.3000000007</v>
      </c>
      <c r="IA16" s="1">
        <v>3.1664055078924999E-3</v>
      </c>
      <c r="IB16" s="1"/>
      <c r="IC16" s="22">
        <v>6999</v>
      </c>
      <c r="ID16" s="1" t="s">
        <v>51</v>
      </c>
      <c r="IE16" s="1">
        <v>2017</v>
      </c>
      <c r="IF16" s="1" t="s">
        <v>32</v>
      </c>
      <c r="IG16" s="1">
        <v>16416</v>
      </c>
      <c r="IH16" s="1">
        <v>4472691.8</v>
      </c>
      <c r="II16" s="1">
        <v>3.6702730109862999E-3</v>
      </c>
      <c r="IJ16" s="1"/>
      <c r="IK16" s="22">
        <v>8195</v>
      </c>
      <c r="IL16" s="1" t="s">
        <v>57</v>
      </c>
      <c r="IM16" s="1">
        <v>2017</v>
      </c>
      <c r="IN16" s="1" t="s">
        <v>32</v>
      </c>
      <c r="IO16" s="1">
        <v>20271.5</v>
      </c>
      <c r="IP16" s="1">
        <v>10750260.5</v>
      </c>
      <c r="IQ16" s="1">
        <v>1.8856752354977E-3</v>
      </c>
      <c r="IR16" s="1"/>
      <c r="IS16" s="22">
        <v>1065</v>
      </c>
      <c r="IT16" s="1" t="s">
        <v>17</v>
      </c>
      <c r="IU16" s="1">
        <v>2018</v>
      </c>
      <c r="IV16" s="1" t="s">
        <v>32</v>
      </c>
      <c r="IW16" s="1">
        <v>28625</v>
      </c>
      <c r="IX16" s="1">
        <v>3904165.4</v>
      </c>
      <c r="IY16" s="1">
        <v>7.3319127309514004E-3</v>
      </c>
      <c r="IZ16" s="1"/>
      <c r="JA16" s="22">
        <v>2261</v>
      </c>
      <c r="JB16" s="1" t="s">
        <v>61</v>
      </c>
      <c r="JC16" s="1">
        <v>2018</v>
      </c>
      <c r="JD16" s="1" t="s">
        <v>32</v>
      </c>
      <c r="JE16" s="1">
        <v>120084.8</v>
      </c>
      <c r="JF16" s="1">
        <v>46669099.200000003</v>
      </c>
      <c r="JG16" s="1">
        <v>2.5731115890062E-3</v>
      </c>
      <c r="JH16" s="1"/>
      <c r="JI16" s="22">
        <v>3457</v>
      </c>
      <c r="JJ16" s="1" t="s">
        <v>44</v>
      </c>
      <c r="JK16" s="1">
        <v>2018</v>
      </c>
      <c r="JL16" s="1" t="s">
        <v>32</v>
      </c>
      <c r="JM16" s="1">
        <v>11520.5</v>
      </c>
      <c r="JN16" s="1">
        <v>6336724.7000000002</v>
      </c>
      <c r="JO16" s="1">
        <v>1.8180527867969001E-3</v>
      </c>
      <c r="JP16" s="1"/>
      <c r="JQ16" s="22">
        <v>4653</v>
      </c>
      <c r="JR16" s="1" t="s">
        <v>38</v>
      </c>
      <c r="JS16" s="1">
        <v>2018</v>
      </c>
      <c r="JT16" s="1" t="s">
        <v>32</v>
      </c>
      <c r="JU16" s="1">
        <v>12986.8</v>
      </c>
      <c r="JV16" s="1">
        <v>6390706</v>
      </c>
      <c r="JW16" s="1">
        <v>2.032138546195E-3</v>
      </c>
      <c r="JX16" s="1"/>
      <c r="JY16" s="22">
        <v>5849</v>
      </c>
      <c r="JZ16" s="1" t="s">
        <v>31</v>
      </c>
      <c r="KA16" s="1">
        <v>2018</v>
      </c>
      <c r="KB16" s="1" t="s">
        <v>32</v>
      </c>
      <c r="KC16" s="1">
        <v>28898.7</v>
      </c>
      <c r="KD16" s="1">
        <v>9443218.3000000007</v>
      </c>
      <c r="KE16" s="1">
        <v>3.0602596574516999E-3</v>
      </c>
      <c r="KF16" s="1"/>
      <c r="KG16" s="22">
        <v>7045</v>
      </c>
      <c r="KH16" s="1" t="s">
        <v>51</v>
      </c>
      <c r="KI16" s="1">
        <v>2018</v>
      </c>
      <c r="KJ16" s="1" t="s">
        <v>32</v>
      </c>
      <c r="KK16" s="1">
        <v>17521.5</v>
      </c>
      <c r="KL16" s="1">
        <v>4803387.8</v>
      </c>
      <c r="KM16" s="1">
        <v>3.6477379569477999E-3</v>
      </c>
      <c r="KN16" s="1"/>
      <c r="KO16" s="22">
        <v>8241</v>
      </c>
      <c r="KP16" s="1" t="s">
        <v>57</v>
      </c>
      <c r="KQ16" s="1">
        <v>2018</v>
      </c>
      <c r="KR16" s="1" t="s">
        <v>32</v>
      </c>
      <c r="KS16" s="1">
        <v>21282.1</v>
      </c>
      <c r="KT16" s="1">
        <v>11172914.4</v>
      </c>
      <c r="KU16" s="1">
        <v>1.9047939721081001E-3</v>
      </c>
      <c r="KV16" s="1"/>
      <c r="KW16" s="22">
        <v>1111</v>
      </c>
      <c r="KX16" s="1" t="s">
        <v>17</v>
      </c>
      <c r="KY16" s="1">
        <v>2019</v>
      </c>
      <c r="KZ16" s="1" t="s">
        <v>32</v>
      </c>
      <c r="LA16" s="1">
        <v>25014.1</v>
      </c>
      <c r="LB16" s="1">
        <v>3955328</v>
      </c>
      <c r="LC16" s="1">
        <v>6.3241531422930999E-3</v>
      </c>
      <c r="LD16" s="1"/>
      <c r="LE16" s="22">
        <v>2307</v>
      </c>
      <c r="LF16" s="1" t="s">
        <v>61</v>
      </c>
      <c r="LG16" s="1">
        <v>2019</v>
      </c>
      <c r="LH16" s="1" t="s">
        <v>32</v>
      </c>
      <c r="LI16" s="1">
        <v>111822.39999999999</v>
      </c>
      <c r="LJ16" s="1">
        <v>48356774.5</v>
      </c>
      <c r="LK16" s="1">
        <v>2.3124453844621E-3</v>
      </c>
      <c r="LL16" s="1"/>
      <c r="LM16" s="22">
        <v>3503</v>
      </c>
      <c r="LN16" s="1" t="s">
        <v>44</v>
      </c>
      <c r="LO16" s="1">
        <v>2019</v>
      </c>
      <c r="LP16" s="1" t="s">
        <v>32</v>
      </c>
      <c r="LQ16" s="1">
        <v>11383</v>
      </c>
      <c r="LR16" s="1">
        <v>6269787.0999999996</v>
      </c>
      <c r="LS16" s="1">
        <v>1.8155321414342E-3</v>
      </c>
      <c r="LT16" s="1"/>
      <c r="LU16" s="22">
        <v>4699</v>
      </c>
      <c r="LV16" s="1" t="s">
        <v>38</v>
      </c>
      <c r="LW16" s="1">
        <v>2019</v>
      </c>
      <c r="LX16" s="1" t="s">
        <v>32</v>
      </c>
      <c r="LY16" s="1">
        <v>12537.3</v>
      </c>
      <c r="LZ16" s="1">
        <v>6182094.5</v>
      </c>
      <c r="MA16" s="1">
        <v>2.0280019983517999E-3</v>
      </c>
      <c r="MB16" s="1"/>
      <c r="MC16" s="22">
        <v>5895</v>
      </c>
      <c r="MD16" s="1" t="s">
        <v>31</v>
      </c>
      <c r="ME16" s="1">
        <v>2019</v>
      </c>
      <c r="MF16" s="1" t="s">
        <v>32</v>
      </c>
      <c r="MG16" s="1">
        <v>28140.7</v>
      </c>
      <c r="MH16" s="1">
        <v>9237079</v>
      </c>
      <c r="MI16" s="1">
        <v>3.0464933773976998E-3</v>
      </c>
      <c r="MJ16" s="1"/>
      <c r="MK16" s="22">
        <v>7091</v>
      </c>
      <c r="ML16" s="1" t="s">
        <v>51</v>
      </c>
      <c r="MM16" s="1">
        <v>2019</v>
      </c>
      <c r="MN16" s="1" t="s">
        <v>32</v>
      </c>
      <c r="MO16" s="1">
        <v>16005.2</v>
      </c>
      <c r="MP16" s="1">
        <v>4608662</v>
      </c>
      <c r="MQ16" s="1">
        <v>3.4728517734647999E-3</v>
      </c>
      <c r="MR16" s="1"/>
      <c r="MS16" s="22">
        <v>8287</v>
      </c>
      <c r="MT16" s="1" t="s">
        <v>57</v>
      </c>
      <c r="MU16" s="1">
        <v>2019</v>
      </c>
      <c r="MV16" s="1" t="s">
        <v>32</v>
      </c>
      <c r="MW16" s="1">
        <v>21933.5</v>
      </c>
      <c r="MX16" s="1">
        <v>11338077</v>
      </c>
      <c r="MY16" s="1">
        <v>1.9344991218528001E-3</v>
      </c>
      <c r="MZ16" s="1"/>
      <c r="NA16" s="22">
        <v>1157</v>
      </c>
      <c r="NB16" s="1" t="s">
        <v>17</v>
      </c>
      <c r="NC16" s="1">
        <v>2020</v>
      </c>
      <c r="ND16" s="1" t="s">
        <v>32</v>
      </c>
      <c r="NE16" s="1">
        <v>27727</v>
      </c>
      <c r="NF16" s="1">
        <v>3784752.3</v>
      </c>
      <c r="NG16" s="1">
        <v>7.3259748068585E-3</v>
      </c>
      <c r="NH16" s="1"/>
      <c r="NI16" s="22">
        <v>2353</v>
      </c>
      <c r="NJ16" s="1" t="s">
        <v>61</v>
      </c>
      <c r="NK16" s="1">
        <v>2020</v>
      </c>
      <c r="NL16" s="1" t="s">
        <v>32</v>
      </c>
      <c r="NM16" s="1">
        <v>121861.1</v>
      </c>
      <c r="NN16" s="1">
        <v>47421769.399999999</v>
      </c>
      <c r="NO16" s="1">
        <v>2.5697290831159002E-3</v>
      </c>
      <c r="NP16" s="1"/>
      <c r="NQ16" s="22">
        <v>3549</v>
      </c>
      <c r="NR16" s="1" t="s">
        <v>44</v>
      </c>
      <c r="NS16" s="1">
        <v>2020</v>
      </c>
      <c r="NT16" s="1" t="s">
        <v>32</v>
      </c>
      <c r="NU16" s="1">
        <v>11317.9</v>
      </c>
      <c r="NV16" s="1">
        <v>5955345.3666666672</v>
      </c>
      <c r="NW16" s="1">
        <v>1.9004607295066999E-3</v>
      </c>
      <c r="NX16" s="1"/>
      <c r="NY16" s="22">
        <v>4745</v>
      </c>
      <c r="NZ16" s="1" t="s">
        <v>38</v>
      </c>
      <c r="OA16" s="1">
        <v>2020</v>
      </c>
      <c r="OB16" s="1" t="s">
        <v>32</v>
      </c>
      <c r="OC16" s="1">
        <v>12153.5</v>
      </c>
      <c r="OD16" s="1">
        <v>5990228.4000000004</v>
      </c>
      <c r="OE16" s="1">
        <v>2.0288875796455001E-3</v>
      </c>
      <c r="OF16" s="1"/>
      <c r="OG16" s="22">
        <v>5941</v>
      </c>
      <c r="OH16" s="1" t="s">
        <v>31</v>
      </c>
      <c r="OI16" s="1">
        <v>2020</v>
      </c>
      <c r="OJ16" s="1" t="s">
        <v>32</v>
      </c>
      <c r="OK16" s="1">
        <v>30304.1</v>
      </c>
      <c r="OL16" s="1">
        <v>9257180.0999999996</v>
      </c>
      <c r="OM16" s="1">
        <v>3.2735778792939E-3</v>
      </c>
      <c r="ON16" s="1"/>
      <c r="OO16" s="22">
        <v>7137</v>
      </c>
      <c r="OP16" s="1" t="s">
        <v>51</v>
      </c>
      <c r="OQ16" s="1">
        <v>2020</v>
      </c>
      <c r="OR16" s="1" t="s">
        <v>32</v>
      </c>
      <c r="OS16" s="1">
        <v>14254.6</v>
      </c>
      <c r="OT16" s="1">
        <v>4352046.4000000004</v>
      </c>
      <c r="OU16" s="1">
        <v>3.2753786816243002E-3</v>
      </c>
      <c r="OV16" s="1"/>
      <c r="OW16" s="22">
        <v>8333</v>
      </c>
      <c r="OX16" s="1" t="s">
        <v>57</v>
      </c>
      <c r="OY16" s="1">
        <v>2020</v>
      </c>
      <c r="OZ16" s="1" t="s">
        <v>32</v>
      </c>
      <c r="PA16" s="1">
        <v>19732.8</v>
      </c>
      <c r="PB16" s="1">
        <v>11082248.733333331</v>
      </c>
      <c r="PC16" s="1">
        <v>1.7805772523988999E-3</v>
      </c>
      <c r="PD16" s="1"/>
      <c r="PE16" s="22">
        <v>8379</v>
      </c>
      <c r="PF16" s="1" t="s">
        <v>17</v>
      </c>
      <c r="PG16" s="1">
        <v>2021</v>
      </c>
      <c r="PH16" s="1" t="s">
        <v>32</v>
      </c>
      <c r="PI16" s="1">
        <v>33867.975852821517</v>
      </c>
      <c r="PJ16" s="1">
        <v>4622999.2247741111</v>
      </c>
      <c r="PK16" s="1">
        <v>7.3259748068585E-3</v>
      </c>
      <c r="PL16" s="1"/>
      <c r="PM16" s="22">
        <v>9299</v>
      </c>
      <c r="PN16" s="1" t="s">
        <v>61</v>
      </c>
      <c r="PO16" s="1">
        <v>2021</v>
      </c>
      <c r="PP16" s="1" t="s">
        <v>32</v>
      </c>
      <c r="PQ16" s="1">
        <v>135141.1242487343</v>
      </c>
      <c r="PR16" s="1">
        <v>52589638.782026872</v>
      </c>
      <c r="PS16" s="1">
        <v>2.5697290831159002E-3</v>
      </c>
      <c r="PT16" s="1"/>
      <c r="PU16" s="22">
        <v>10219</v>
      </c>
      <c r="PV16" s="1" t="s">
        <v>44</v>
      </c>
      <c r="PW16" s="1">
        <v>2021</v>
      </c>
      <c r="PX16" s="1" t="s">
        <v>32</v>
      </c>
      <c r="PY16" s="1">
        <v>13191.94796312602</v>
      </c>
      <c r="PZ16" s="1">
        <v>6941447.2808129201</v>
      </c>
      <c r="QA16" s="1">
        <v>1.9004607295066999E-3</v>
      </c>
      <c r="QB16" s="1"/>
      <c r="QC16" s="22">
        <v>11139</v>
      </c>
      <c r="QD16" s="1" t="s">
        <v>38</v>
      </c>
      <c r="QE16" s="1">
        <v>2021</v>
      </c>
      <c r="QF16" s="1" t="s">
        <v>32</v>
      </c>
      <c r="QG16" s="1">
        <v>13615.355015049199</v>
      </c>
      <c r="QH16" s="1">
        <v>6710748.8614170318</v>
      </c>
      <c r="QI16" s="1">
        <v>2.0288875796455001E-3</v>
      </c>
      <c r="QJ16" s="1"/>
      <c r="QK16" s="22">
        <v>12059</v>
      </c>
      <c r="QL16" s="1" t="s">
        <v>31</v>
      </c>
      <c r="QM16" s="1">
        <v>2021</v>
      </c>
      <c r="QN16" s="1" t="s">
        <v>32</v>
      </c>
      <c r="QO16" s="1">
        <v>33443.30862101313</v>
      </c>
      <c r="QP16" s="1">
        <v>10216133.49495957</v>
      </c>
      <c r="QQ16" s="1">
        <v>3.2735778792939E-3</v>
      </c>
      <c r="QR16" s="1"/>
      <c r="QS16" s="22">
        <v>12979</v>
      </c>
      <c r="QT16" s="1" t="s">
        <v>51</v>
      </c>
      <c r="QU16" s="1">
        <v>2021</v>
      </c>
      <c r="QV16" s="1" t="s">
        <v>32</v>
      </c>
      <c r="QW16" s="1">
        <v>16285.238569211489</v>
      </c>
      <c r="QX16" s="1">
        <v>4972017.0252605537</v>
      </c>
      <c r="QY16" s="1">
        <v>3.2753786816243002E-3</v>
      </c>
      <c r="QZ16" s="1"/>
      <c r="RA16" s="22">
        <v>13899</v>
      </c>
      <c r="RB16" s="1" t="s">
        <v>57</v>
      </c>
      <c r="RC16" s="1">
        <v>2021</v>
      </c>
      <c r="RD16" s="1" t="s">
        <v>32</v>
      </c>
      <c r="RE16" s="1">
        <v>19674.547269823979</v>
      </c>
      <c r="RF16" s="1">
        <v>11049533.09007922</v>
      </c>
      <c r="RG16" s="1">
        <v>1.7805772523988999E-3</v>
      </c>
      <c r="RH16" s="1"/>
      <c r="RI16" s="22">
        <v>8425</v>
      </c>
      <c r="RJ16" s="1" t="s">
        <v>17</v>
      </c>
      <c r="RK16" s="1">
        <v>2022</v>
      </c>
      <c r="RL16" s="1" t="s">
        <v>32</v>
      </c>
      <c r="RM16" s="1">
        <v>36681.905966128397</v>
      </c>
      <c r="RN16" s="1">
        <v>5007102.3902221443</v>
      </c>
      <c r="RO16" s="1">
        <v>7.3259748068585E-3</v>
      </c>
      <c r="RP16" s="1"/>
      <c r="RQ16" s="22">
        <v>9345</v>
      </c>
      <c r="RR16" s="1" t="s">
        <v>61</v>
      </c>
      <c r="RS16" s="1">
        <v>2022</v>
      </c>
      <c r="RT16" s="1" t="s">
        <v>32</v>
      </c>
      <c r="RU16" s="1">
        <v>148413.1591399257</v>
      </c>
      <c r="RV16" s="1">
        <v>57754399.13688051</v>
      </c>
      <c r="RW16" s="1">
        <v>2.5697290831159002E-3</v>
      </c>
      <c r="RX16" s="1"/>
      <c r="RY16" s="22">
        <v>10265</v>
      </c>
      <c r="RZ16" s="1" t="s">
        <v>44</v>
      </c>
      <c r="SA16" s="1">
        <v>2022</v>
      </c>
      <c r="SB16" s="1" t="s">
        <v>32</v>
      </c>
      <c r="SC16" s="1">
        <v>13069.065076127459</v>
      </c>
      <c r="SD16" s="1">
        <v>6876787.7563667288</v>
      </c>
      <c r="SE16" s="1">
        <v>1.9004607295066999E-3</v>
      </c>
      <c r="SF16" s="1"/>
      <c r="SG16" s="22">
        <v>11185</v>
      </c>
      <c r="SH16" s="1" t="s">
        <v>38</v>
      </c>
      <c r="SI16" s="1">
        <v>2022</v>
      </c>
      <c r="SJ16" s="1" t="s">
        <v>32</v>
      </c>
      <c r="SK16" s="1">
        <v>12834.490356617909</v>
      </c>
      <c r="SL16" s="1">
        <v>6325875.5612572851</v>
      </c>
      <c r="SM16" s="1">
        <v>2.0288875796455001E-3</v>
      </c>
      <c r="SN16" s="1"/>
      <c r="SO16" s="22">
        <v>12105</v>
      </c>
      <c r="SP16" s="1" t="s">
        <v>31</v>
      </c>
      <c r="SQ16" s="1">
        <v>2022</v>
      </c>
      <c r="SR16" s="1" t="s">
        <v>32</v>
      </c>
      <c r="SS16" s="1">
        <v>32022.758267472411</v>
      </c>
      <c r="ST16" s="1">
        <v>9782189.227885304</v>
      </c>
      <c r="SU16" s="1">
        <v>3.2735778792939E-3</v>
      </c>
      <c r="SV16" s="1"/>
      <c r="SW16" s="22">
        <v>13025</v>
      </c>
      <c r="SX16" s="1" t="s">
        <v>51</v>
      </c>
      <c r="SY16" s="1">
        <v>2022</v>
      </c>
      <c r="SZ16" s="1" t="s">
        <v>32</v>
      </c>
      <c r="TA16" s="1">
        <v>15723.71727200261</v>
      </c>
      <c r="TB16" s="1">
        <v>4800579.963537232</v>
      </c>
      <c r="TC16" s="1">
        <v>3.2753786816243002E-3</v>
      </c>
      <c r="TD16" s="1"/>
      <c r="TE16" s="22">
        <v>13945</v>
      </c>
      <c r="TF16" s="1" t="s">
        <v>57</v>
      </c>
      <c r="TG16" s="1">
        <v>2022</v>
      </c>
      <c r="TH16" s="1" t="s">
        <v>32</v>
      </c>
      <c r="TI16" s="1">
        <v>16642.08661296725</v>
      </c>
      <c r="TJ16" s="1">
        <v>9346455.8140041605</v>
      </c>
      <c r="TK16" s="1">
        <v>1.7805772523988999E-3</v>
      </c>
      <c r="TL16" s="1"/>
      <c r="TM16" s="22">
        <v>8471</v>
      </c>
      <c r="TN16" s="1" t="s">
        <v>17</v>
      </c>
      <c r="TO16" s="1">
        <v>2023</v>
      </c>
      <c r="TP16" s="1" t="s">
        <v>32</v>
      </c>
      <c r="TQ16" s="1">
        <v>36396.041614321301</v>
      </c>
      <c r="TR16" s="1">
        <v>4968081.7329930915</v>
      </c>
      <c r="TS16" s="1">
        <v>7.3259748068585E-3</v>
      </c>
      <c r="TT16" s="1"/>
      <c r="TU16" s="22">
        <v>9391</v>
      </c>
      <c r="TV16" s="1" t="s">
        <v>61</v>
      </c>
      <c r="TW16" s="1">
        <v>2023</v>
      </c>
      <c r="TX16" s="1" t="s">
        <v>32</v>
      </c>
      <c r="TY16" s="1">
        <v>158193.2741145672</v>
      </c>
      <c r="TZ16" s="1">
        <v>61560292.543660469</v>
      </c>
      <c r="UA16" s="1">
        <v>2.5697290831159002E-3</v>
      </c>
      <c r="UB16" s="1"/>
      <c r="UC16" s="22">
        <v>10311</v>
      </c>
      <c r="UD16" s="1" t="s">
        <v>44</v>
      </c>
      <c r="UE16" s="1">
        <v>2023</v>
      </c>
      <c r="UF16" s="1" t="s">
        <v>32</v>
      </c>
      <c r="UG16" s="1">
        <v>14142.695545798661</v>
      </c>
      <c r="UH16" s="1">
        <v>7441719.4347760417</v>
      </c>
      <c r="UI16" s="1">
        <v>1.9004607295066999E-3</v>
      </c>
      <c r="UJ16" s="1"/>
      <c r="UK16" s="22">
        <v>11231</v>
      </c>
      <c r="UL16" s="1" t="s">
        <v>38</v>
      </c>
      <c r="UM16" s="1">
        <v>2023</v>
      </c>
      <c r="UN16" s="1" t="s">
        <v>32</v>
      </c>
      <c r="UO16" s="1">
        <v>14007.32493117235</v>
      </c>
      <c r="UP16" s="1">
        <v>6903943.3587640161</v>
      </c>
      <c r="UQ16" s="1">
        <v>2.0288875796455001E-3</v>
      </c>
      <c r="UR16" s="1"/>
      <c r="US16" s="22">
        <v>12151</v>
      </c>
      <c r="UT16" s="1" t="s">
        <v>31</v>
      </c>
      <c r="UU16" s="1">
        <v>2023</v>
      </c>
      <c r="UV16" s="1" t="s">
        <v>32</v>
      </c>
      <c r="UW16" s="1">
        <v>34807.713779205456</v>
      </c>
      <c r="UX16" s="1">
        <v>10632926.743356841</v>
      </c>
      <c r="UY16" s="1">
        <v>3.2735778792939E-3</v>
      </c>
      <c r="UZ16" s="1"/>
      <c r="VA16" s="22">
        <v>13071</v>
      </c>
      <c r="VB16" s="1" t="s">
        <v>51</v>
      </c>
      <c r="VC16" s="1">
        <v>2023</v>
      </c>
      <c r="VD16" s="1" t="s">
        <v>32</v>
      </c>
      <c r="VE16" s="1">
        <v>17222.3528980642</v>
      </c>
      <c r="VF16" s="1">
        <v>5258125.7228930313</v>
      </c>
      <c r="VG16" s="1">
        <v>3.2753786816243002E-3</v>
      </c>
      <c r="VH16" s="1"/>
      <c r="VI16" s="22">
        <v>13991</v>
      </c>
      <c r="VJ16" s="1" t="s">
        <v>57</v>
      </c>
      <c r="VK16" s="1">
        <v>2023</v>
      </c>
      <c r="VL16" s="1" t="s">
        <v>32</v>
      </c>
      <c r="VM16" s="1">
        <v>16449.641769108741</v>
      </c>
      <c r="VN16" s="1">
        <v>9238375.7834414635</v>
      </c>
      <c r="VO16" s="1">
        <v>1.7805772523988999E-3</v>
      </c>
      <c r="VP16" s="1"/>
      <c r="VQ16" s="22">
        <v>8517</v>
      </c>
      <c r="VR16" s="1" t="s">
        <v>17</v>
      </c>
      <c r="VS16" s="1">
        <v>2024</v>
      </c>
      <c r="VT16" s="1" t="s">
        <v>32</v>
      </c>
      <c r="VU16" s="1">
        <v>37533.302781938219</v>
      </c>
      <c r="VV16" s="1">
        <v>5123318.5714479852</v>
      </c>
      <c r="VW16" s="1">
        <v>7.3259748068585E-3</v>
      </c>
      <c r="VX16" s="1"/>
      <c r="VY16" s="22">
        <v>9437</v>
      </c>
      <c r="VZ16" s="1" t="s">
        <v>61</v>
      </c>
      <c r="WA16" s="1">
        <v>2024</v>
      </c>
      <c r="WB16" s="1" t="s">
        <v>32</v>
      </c>
      <c r="WC16" s="1">
        <v>166549.00077221109</v>
      </c>
      <c r="WD16" s="1">
        <v>64811890.820126347</v>
      </c>
      <c r="WE16" s="1">
        <v>2.5697290831159002E-3</v>
      </c>
      <c r="WF16" s="1"/>
      <c r="WG16" s="22">
        <v>10357</v>
      </c>
      <c r="WH16" s="1" t="s">
        <v>44</v>
      </c>
      <c r="WI16" s="1">
        <v>2024</v>
      </c>
      <c r="WJ16" s="1" t="s">
        <v>32</v>
      </c>
      <c r="WK16" s="1">
        <v>15292.4982968573</v>
      </c>
      <c r="WL16" s="1">
        <v>8046732.0684004631</v>
      </c>
      <c r="WM16" s="1">
        <v>1.9004607295066999E-3</v>
      </c>
      <c r="WN16" s="1"/>
      <c r="WO16" s="22">
        <v>11277</v>
      </c>
      <c r="WP16" s="1" t="s">
        <v>38</v>
      </c>
      <c r="WQ16" s="1">
        <v>2024</v>
      </c>
      <c r="WR16" s="1" t="s">
        <v>32</v>
      </c>
      <c r="WS16" s="1">
        <v>14513.35166715101</v>
      </c>
      <c r="WT16" s="1">
        <v>7153354.2877160665</v>
      </c>
      <c r="WU16" s="1">
        <v>2.0288875796455001E-3</v>
      </c>
      <c r="WV16" s="1"/>
      <c r="WW16" s="22">
        <v>12197</v>
      </c>
      <c r="WX16" s="1" t="s">
        <v>31</v>
      </c>
      <c r="WY16" s="1">
        <v>2024</v>
      </c>
      <c r="WZ16" s="1" t="s">
        <v>32</v>
      </c>
      <c r="XA16" s="1">
        <v>35840.093172577261</v>
      </c>
      <c r="XB16" s="1">
        <v>10948294.03609846</v>
      </c>
      <c r="XC16" s="1">
        <v>3.2735778792939E-3</v>
      </c>
      <c r="XD16" s="1"/>
      <c r="XE16" s="22">
        <v>13117</v>
      </c>
      <c r="XF16" s="1" t="s">
        <v>51</v>
      </c>
      <c r="XG16" s="1">
        <v>2024</v>
      </c>
      <c r="XH16" s="1" t="s">
        <v>32</v>
      </c>
      <c r="XI16" s="1">
        <v>17731.712648100889</v>
      </c>
      <c r="XJ16" s="1">
        <v>5413637.436055948</v>
      </c>
      <c r="XK16" s="1">
        <v>3.2753786816243002E-3</v>
      </c>
      <c r="XL16" s="1"/>
      <c r="XM16" s="22">
        <v>14037</v>
      </c>
      <c r="XN16" s="1" t="s">
        <v>57</v>
      </c>
      <c r="XO16" s="1">
        <v>2024</v>
      </c>
      <c r="XP16" s="1" t="s">
        <v>32</v>
      </c>
      <c r="XQ16" s="1">
        <v>15719.6866462078</v>
      </c>
      <c r="XR16" s="1">
        <v>8828421.583522588</v>
      </c>
      <c r="XS16" s="1">
        <v>1.7805772523988999E-3</v>
      </c>
      <c r="XT16" s="1"/>
    </row>
    <row r="17" spans="1:644" x14ac:dyDescent="0.25">
      <c r="A17" s="2">
        <v>8</v>
      </c>
      <c r="B17" s="1" t="s">
        <v>17</v>
      </c>
      <c r="C17" s="1" t="s">
        <v>33</v>
      </c>
      <c r="D17" s="1">
        <v>7.8505399764141597E-3</v>
      </c>
      <c r="E17" s="1">
        <v>8.1487790979906296E-3</v>
      </c>
      <c r="F17" s="1">
        <v>8.0469895683643305E-3</v>
      </c>
      <c r="G17" s="1">
        <v>7.9865356017921173E-3</v>
      </c>
      <c r="H17" s="1">
        <v>8.2773900921308298E-3</v>
      </c>
      <c r="I17" s="1">
        <v>7.6084208439856317E-3</v>
      </c>
      <c r="J17" s="1">
        <v>7.1670476295106556E-3</v>
      </c>
      <c r="K17" s="1">
        <v>7.1670476295106139E-3</v>
      </c>
      <c r="L17" s="1">
        <v>7.1670476295106157E-3</v>
      </c>
      <c r="M17" s="1">
        <v>7.1670476295106157E-3</v>
      </c>
      <c r="N17" s="1">
        <v>7.1670476295106174E-3</v>
      </c>
      <c r="O17" s="1">
        <v>7.6139903025664374E-3</v>
      </c>
      <c r="P17" s="1"/>
      <c r="Q17" s="2">
        <v>79</v>
      </c>
      <c r="R17" s="1" t="s">
        <v>31</v>
      </c>
      <c r="S17" s="1" t="s">
        <v>23</v>
      </c>
      <c r="T17" s="1">
        <v>8.7678262422189769E-3</v>
      </c>
      <c r="U17" s="1"/>
      <c r="V17" s="3"/>
      <c r="W17" s="3"/>
      <c r="X17" s="3"/>
      <c r="Y17" s="3" t="s">
        <v>80</v>
      </c>
      <c r="Z17" s="3"/>
      <c r="AA17" s="3"/>
      <c r="AC17" s="22">
        <v>882</v>
      </c>
      <c r="AD17" s="1" t="s">
        <v>17</v>
      </c>
      <c r="AE17" s="1">
        <v>2014</v>
      </c>
      <c r="AF17" s="1" t="s">
        <v>33</v>
      </c>
      <c r="AG17" s="1">
        <v>32094.7</v>
      </c>
      <c r="AH17" s="1">
        <v>4088215.6</v>
      </c>
      <c r="AI17" s="1">
        <v>7.8505399764141007E-3</v>
      </c>
      <c r="AJ17" s="1"/>
      <c r="AK17" s="22">
        <v>2078</v>
      </c>
      <c r="AL17" s="1" t="s">
        <v>61</v>
      </c>
      <c r="AM17" s="1">
        <v>2014</v>
      </c>
      <c r="AN17" s="1" t="s">
        <v>33</v>
      </c>
      <c r="AO17" s="1">
        <v>266719.8</v>
      </c>
      <c r="AP17" s="1">
        <v>40350049.200000003</v>
      </c>
      <c r="AQ17" s="1">
        <v>6.6101480738714E-3</v>
      </c>
      <c r="AR17" s="1"/>
      <c r="AS17" s="22">
        <v>3274</v>
      </c>
      <c r="AT17" s="1" t="s">
        <v>44</v>
      </c>
      <c r="AU17" s="1">
        <v>2014</v>
      </c>
      <c r="AV17" s="1" t="s">
        <v>33</v>
      </c>
      <c r="AW17" s="1">
        <v>35260.699999999997</v>
      </c>
      <c r="AX17" s="1">
        <v>6735816.8000000007</v>
      </c>
      <c r="AY17" s="1">
        <v>5.2348068611367E-3</v>
      </c>
      <c r="AZ17" s="1"/>
      <c r="BA17" s="22">
        <v>4470</v>
      </c>
      <c r="BB17" s="1" t="s">
        <v>38</v>
      </c>
      <c r="BC17" s="1">
        <v>2014</v>
      </c>
      <c r="BD17" s="1" t="s">
        <v>33</v>
      </c>
      <c r="BE17" s="1">
        <v>33435.699999999997</v>
      </c>
      <c r="BF17" s="1">
        <v>6538596.7000000002</v>
      </c>
      <c r="BG17" s="1">
        <v>5.1135895871967998E-3</v>
      </c>
      <c r="BH17" s="1"/>
      <c r="BI17" s="22">
        <v>5666</v>
      </c>
      <c r="BJ17" s="1" t="s">
        <v>31</v>
      </c>
      <c r="BK17" s="1">
        <v>2014</v>
      </c>
      <c r="BL17" s="1" t="s">
        <v>33</v>
      </c>
      <c r="BM17" s="1">
        <v>75415.899999999994</v>
      </c>
      <c r="BN17" s="1">
        <v>9155477.5</v>
      </c>
      <c r="BO17" s="1">
        <v>8.2372437701911001E-3</v>
      </c>
      <c r="BP17" s="1"/>
      <c r="BQ17" s="22">
        <v>6862</v>
      </c>
      <c r="BR17" s="1" t="s">
        <v>51</v>
      </c>
      <c r="BS17" s="1">
        <v>2014</v>
      </c>
      <c r="BT17" s="1" t="s">
        <v>33</v>
      </c>
      <c r="BU17" s="1">
        <v>43016.800000000003</v>
      </c>
      <c r="BV17" s="1">
        <v>4981875.5</v>
      </c>
      <c r="BW17" s="1">
        <v>8.6346597782300995E-3</v>
      </c>
      <c r="BX17" s="1"/>
      <c r="BY17" s="22">
        <v>8058</v>
      </c>
      <c r="BZ17" s="1" t="s">
        <v>57</v>
      </c>
      <c r="CA17" s="1">
        <v>2014</v>
      </c>
      <c r="CB17" s="1" t="s">
        <v>33</v>
      </c>
      <c r="CC17" s="1">
        <v>114475.8</v>
      </c>
      <c r="CD17" s="1">
        <v>11026913.800000001</v>
      </c>
      <c r="CE17" s="1">
        <v>1.03814904220979E-2</v>
      </c>
      <c r="CF17" s="1"/>
      <c r="CG17" s="22">
        <v>928</v>
      </c>
      <c r="CH17" s="1" t="s">
        <v>17</v>
      </c>
      <c r="CI17" s="1">
        <v>2015</v>
      </c>
      <c r="CJ17" s="1" t="s">
        <v>33</v>
      </c>
      <c r="CK17" s="1">
        <v>28970</v>
      </c>
      <c r="CL17" s="1">
        <v>3555133.8</v>
      </c>
      <c r="CM17" s="1">
        <v>8.1487790979906001E-3</v>
      </c>
      <c r="CN17" s="1"/>
      <c r="CO17" s="22">
        <v>2124</v>
      </c>
      <c r="CP17" s="1" t="s">
        <v>61</v>
      </c>
      <c r="CQ17" s="1">
        <v>2015</v>
      </c>
      <c r="CR17" s="1" t="s">
        <v>33</v>
      </c>
      <c r="CS17" s="1">
        <v>264691.20000000001</v>
      </c>
      <c r="CT17" s="1">
        <v>41208556.399999999</v>
      </c>
      <c r="CU17" s="1">
        <v>6.4232097196202003E-3</v>
      </c>
      <c r="CV17" s="1"/>
      <c r="CW17" s="22">
        <v>3320</v>
      </c>
      <c r="CX17" s="1" t="s">
        <v>44</v>
      </c>
      <c r="CY17" s="1">
        <v>2015</v>
      </c>
      <c r="CZ17" s="1" t="s">
        <v>33</v>
      </c>
      <c r="DA17" s="1">
        <v>32894.800000000003</v>
      </c>
      <c r="DB17" s="1">
        <v>6404349.4000000004</v>
      </c>
      <c r="DC17" s="1">
        <v>5.1363218877470002E-3</v>
      </c>
      <c r="DD17" s="1"/>
      <c r="DE17" s="22">
        <v>4516</v>
      </c>
      <c r="DF17" s="1" t="s">
        <v>38</v>
      </c>
      <c r="DG17" s="1">
        <v>2015</v>
      </c>
      <c r="DH17" s="1" t="s">
        <v>33</v>
      </c>
      <c r="DI17" s="1">
        <v>27894.2</v>
      </c>
      <c r="DJ17" s="1">
        <v>5531517.5999999996</v>
      </c>
      <c r="DK17" s="1">
        <v>5.0427752412826998E-3</v>
      </c>
      <c r="DL17" s="1"/>
      <c r="DM17" s="22">
        <v>5712</v>
      </c>
      <c r="DN17" s="1" t="s">
        <v>31</v>
      </c>
      <c r="DO17" s="1">
        <v>2015</v>
      </c>
      <c r="DP17" s="1" t="s">
        <v>33</v>
      </c>
      <c r="DQ17" s="1">
        <v>62580.7</v>
      </c>
      <c r="DR17" s="1">
        <v>7894528</v>
      </c>
      <c r="DS17" s="1">
        <v>7.9270983648420008E-3</v>
      </c>
      <c r="DT17" s="1"/>
      <c r="DU17" s="22">
        <v>6908</v>
      </c>
      <c r="DV17" s="1" t="s">
        <v>51</v>
      </c>
      <c r="DW17" s="1">
        <v>2015</v>
      </c>
      <c r="DX17" s="1" t="s">
        <v>33</v>
      </c>
      <c r="DY17" s="1">
        <v>36991.699999999997</v>
      </c>
      <c r="DZ17" s="1">
        <v>4209274.5999999996</v>
      </c>
      <c r="EA17" s="1">
        <v>8.7881413106190992E-3</v>
      </c>
      <c r="EB17" s="1"/>
      <c r="EC17" s="22">
        <v>8104</v>
      </c>
      <c r="ED17" s="1" t="s">
        <v>57</v>
      </c>
      <c r="EE17" s="1">
        <v>2015</v>
      </c>
      <c r="EF17" s="1" t="s">
        <v>33</v>
      </c>
      <c r="EG17" s="1">
        <v>101286.7</v>
      </c>
      <c r="EH17" s="1">
        <v>9729477.0999999996</v>
      </c>
      <c r="EI17" s="1">
        <v>1.04102922447908E-2</v>
      </c>
      <c r="EJ17" s="1"/>
      <c r="EK17" s="22">
        <v>974</v>
      </c>
      <c r="EL17" s="1" t="s">
        <v>17</v>
      </c>
      <c r="EM17" s="1">
        <v>2016</v>
      </c>
      <c r="EN17" s="1" t="s">
        <v>33</v>
      </c>
      <c r="EO17" s="1">
        <v>27870</v>
      </c>
      <c r="EP17" s="1">
        <v>3463407</v>
      </c>
      <c r="EQ17" s="1">
        <v>8.0469895683642993E-3</v>
      </c>
      <c r="ER17" s="1"/>
      <c r="ES17" s="22">
        <v>2170</v>
      </c>
      <c r="ET17" s="1" t="s">
        <v>61</v>
      </c>
      <c r="EU17" s="1">
        <v>2016</v>
      </c>
      <c r="EV17" s="1" t="s">
        <v>33</v>
      </c>
      <c r="EW17" s="1">
        <v>262208.3</v>
      </c>
      <c r="EX17" s="1">
        <v>42141395.200000003</v>
      </c>
      <c r="EY17" s="1">
        <v>6.2221077103778001E-3</v>
      </c>
      <c r="EZ17" s="1"/>
      <c r="FA17" s="22">
        <v>3366</v>
      </c>
      <c r="FB17" s="1" t="s">
        <v>44</v>
      </c>
      <c r="FC17" s="1">
        <v>2016</v>
      </c>
      <c r="FD17" s="1" t="s">
        <v>33</v>
      </c>
      <c r="FE17" s="1">
        <v>29461</v>
      </c>
      <c r="FF17" s="1">
        <v>5868597.7999999998</v>
      </c>
      <c r="FG17" s="1">
        <v>5.0201088921104E-3</v>
      </c>
      <c r="FH17" s="1"/>
      <c r="FI17" s="22">
        <v>4562</v>
      </c>
      <c r="FJ17" s="1" t="s">
        <v>38</v>
      </c>
      <c r="FK17" s="1">
        <v>2016</v>
      </c>
      <c r="FL17" s="1" t="s">
        <v>33</v>
      </c>
      <c r="FM17" s="1">
        <v>27477.1</v>
      </c>
      <c r="FN17" s="1">
        <v>5582986.5</v>
      </c>
      <c r="FO17" s="1">
        <v>4.9215773672388E-3</v>
      </c>
      <c r="FP17" s="1"/>
      <c r="FQ17" s="22">
        <v>5758</v>
      </c>
      <c r="FR17" s="1" t="s">
        <v>31</v>
      </c>
      <c r="FS17" s="1">
        <v>2016</v>
      </c>
      <c r="FT17" s="1" t="s">
        <v>33</v>
      </c>
      <c r="FU17" s="1">
        <v>63886.8</v>
      </c>
      <c r="FV17" s="1">
        <v>8130820.9000000004</v>
      </c>
      <c r="FW17" s="1">
        <v>7.8573616103140998E-3</v>
      </c>
      <c r="FX17" s="1"/>
      <c r="FY17" s="22">
        <v>6954</v>
      </c>
      <c r="FZ17" s="1" t="s">
        <v>51</v>
      </c>
      <c r="GA17" s="1">
        <v>2016</v>
      </c>
      <c r="GB17" s="1" t="s">
        <v>33</v>
      </c>
      <c r="GC17" s="1">
        <v>37541.300000000003</v>
      </c>
      <c r="GD17" s="1">
        <v>4230502.5999999996</v>
      </c>
      <c r="GE17" s="1">
        <v>8.8739574347501005E-3</v>
      </c>
      <c r="GF17" s="1"/>
      <c r="GG17" s="22">
        <v>8150</v>
      </c>
      <c r="GH17" s="1" t="s">
        <v>57</v>
      </c>
      <c r="GI17" s="1">
        <v>2016</v>
      </c>
      <c r="GJ17" s="1" t="s">
        <v>33</v>
      </c>
      <c r="GK17" s="1">
        <v>109222.1</v>
      </c>
      <c r="GL17" s="1">
        <v>10773649.5</v>
      </c>
      <c r="GM17" s="1">
        <v>1.01378924569617E-2</v>
      </c>
      <c r="GN17" s="1"/>
      <c r="GO17" s="22">
        <v>1020</v>
      </c>
      <c r="GP17" s="1" t="s">
        <v>17</v>
      </c>
      <c r="GQ17" s="1">
        <v>2017</v>
      </c>
      <c r="GR17" s="1" t="s">
        <v>33</v>
      </c>
      <c r="GS17" s="1">
        <v>29707.8</v>
      </c>
      <c r="GT17" s="1">
        <v>3719735.5</v>
      </c>
      <c r="GU17" s="1">
        <v>7.9865356017921E-3</v>
      </c>
      <c r="GV17" s="1"/>
      <c r="GW17" s="22">
        <v>2216</v>
      </c>
      <c r="GX17" s="1" t="s">
        <v>61</v>
      </c>
      <c r="GY17" s="1">
        <v>2017</v>
      </c>
      <c r="GZ17" s="1" t="s">
        <v>33</v>
      </c>
      <c r="HA17" s="1">
        <v>265005.59999999998</v>
      </c>
      <c r="HB17" s="1">
        <v>44107004.100000001</v>
      </c>
      <c r="HC17" s="1">
        <v>6.0082430309520004E-3</v>
      </c>
      <c r="HD17" s="1"/>
      <c r="HE17" s="22">
        <v>3412</v>
      </c>
      <c r="HF17" s="1" t="s">
        <v>44</v>
      </c>
      <c r="HG17" s="1">
        <v>2017</v>
      </c>
      <c r="HH17" s="1" t="s">
        <v>33</v>
      </c>
      <c r="HI17" s="1">
        <v>29860.6</v>
      </c>
      <c r="HJ17" s="1">
        <v>5855367.5</v>
      </c>
      <c r="HK17" s="1">
        <v>5.0996969874222003E-3</v>
      </c>
      <c r="HL17" s="1"/>
      <c r="HM17" s="22">
        <v>4608</v>
      </c>
      <c r="HN17" s="1" t="s">
        <v>38</v>
      </c>
      <c r="HO17" s="1">
        <v>2017</v>
      </c>
      <c r="HP17" s="1" t="s">
        <v>33</v>
      </c>
      <c r="HQ17" s="1">
        <v>28462.3</v>
      </c>
      <c r="HR17" s="1">
        <v>5923445.7000000002</v>
      </c>
      <c r="HS17" s="1">
        <v>4.8050242108237003E-3</v>
      </c>
      <c r="HT17" s="1"/>
      <c r="HU17" s="22">
        <v>5804</v>
      </c>
      <c r="HV17" s="1" t="s">
        <v>31</v>
      </c>
      <c r="HW17" s="1">
        <v>2017</v>
      </c>
      <c r="HX17" s="1" t="s">
        <v>33</v>
      </c>
      <c r="HY17" s="1">
        <v>67161</v>
      </c>
      <c r="HZ17" s="1">
        <v>8686095.3000000007</v>
      </c>
      <c r="IA17" s="1">
        <v>7.7320127952083999E-3</v>
      </c>
      <c r="IB17" s="1"/>
      <c r="IC17" s="22">
        <v>7000</v>
      </c>
      <c r="ID17" s="1" t="s">
        <v>51</v>
      </c>
      <c r="IE17" s="1">
        <v>2017</v>
      </c>
      <c r="IF17" s="1" t="s">
        <v>33</v>
      </c>
      <c r="IG17" s="1">
        <v>39576.800000000003</v>
      </c>
      <c r="IH17" s="1">
        <v>4472691.8</v>
      </c>
      <c r="II17" s="1">
        <v>8.8485417215645994E-3</v>
      </c>
      <c r="IJ17" s="1"/>
      <c r="IK17" s="22">
        <v>8196</v>
      </c>
      <c r="IL17" s="1" t="s">
        <v>57</v>
      </c>
      <c r="IM17" s="1">
        <v>2017</v>
      </c>
      <c r="IN17" s="1" t="s">
        <v>33</v>
      </c>
      <c r="IO17" s="1">
        <v>107183.5</v>
      </c>
      <c r="IP17" s="1">
        <v>10750260.5</v>
      </c>
      <c r="IQ17" s="1">
        <v>9.9703165332598008E-3</v>
      </c>
      <c r="IR17" s="1"/>
      <c r="IS17" s="22">
        <v>1066</v>
      </c>
      <c r="IT17" s="1" t="s">
        <v>17</v>
      </c>
      <c r="IU17" s="1">
        <v>2018</v>
      </c>
      <c r="IV17" s="1" t="s">
        <v>33</v>
      </c>
      <c r="IW17" s="1">
        <v>32316.3</v>
      </c>
      <c r="IX17" s="1">
        <v>3904165.4</v>
      </c>
      <c r="IY17" s="1">
        <v>8.2773900921308003E-3</v>
      </c>
      <c r="IZ17" s="1"/>
      <c r="JA17" s="22">
        <v>2262</v>
      </c>
      <c r="JB17" s="1" t="s">
        <v>61</v>
      </c>
      <c r="JC17" s="1">
        <v>2018</v>
      </c>
      <c r="JD17" s="1" t="s">
        <v>33</v>
      </c>
      <c r="JE17" s="1">
        <v>272918.7</v>
      </c>
      <c r="JF17" s="1">
        <v>46669099.200000003</v>
      </c>
      <c r="JG17" s="1">
        <v>5.8479530284141004E-3</v>
      </c>
      <c r="JH17" s="1"/>
      <c r="JI17" s="22">
        <v>3458</v>
      </c>
      <c r="JJ17" s="1" t="s">
        <v>44</v>
      </c>
      <c r="JK17" s="1">
        <v>2018</v>
      </c>
      <c r="JL17" s="1" t="s">
        <v>33</v>
      </c>
      <c r="JM17" s="1">
        <v>32168</v>
      </c>
      <c r="JN17" s="1">
        <v>6336724.7000000002</v>
      </c>
      <c r="JO17" s="1">
        <v>5.0764395682203999E-3</v>
      </c>
      <c r="JP17" s="1"/>
      <c r="JQ17" s="22">
        <v>4654</v>
      </c>
      <c r="JR17" s="1" t="s">
        <v>38</v>
      </c>
      <c r="JS17" s="1">
        <v>2018</v>
      </c>
      <c r="JT17" s="1" t="s">
        <v>33</v>
      </c>
      <c r="JU17" s="1">
        <v>30381.599999999999</v>
      </c>
      <c r="JV17" s="1">
        <v>6390706</v>
      </c>
      <c r="JW17" s="1">
        <v>4.7540287411124002E-3</v>
      </c>
      <c r="JX17" s="1"/>
      <c r="JY17" s="22">
        <v>5850</v>
      </c>
      <c r="JZ17" s="1" t="s">
        <v>31</v>
      </c>
      <c r="KA17" s="1">
        <v>2018</v>
      </c>
      <c r="KB17" s="1" t="s">
        <v>33</v>
      </c>
      <c r="KC17" s="1">
        <v>68619.3</v>
      </c>
      <c r="KD17" s="1">
        <v>9443218.3000000007</v>
      </c>
      <c r="KE17" s="1">
        <v>7.2665163316195996E-3</v>
      </c>
      <c r="KF17" s="1"/>
      <c r="KG17" s="22">
        <v>7046</v>
      </c>
      <c r="KH17" s="1" t="s">
        <v>51</v>
      </c>
      <c r="KI17" s="1">
        <v>2018</v>
      </c>
      <c r="KJ17" s="1" t="s">
        <v>33</v>
      </c>
      <c r="KK17" s="1">
        <v>41970.3</v>
      </c>
      <c r="KL17" s="1">
        <v>4803387.8</v>
      </c>
      <c r="KM17" s="1">
        <v>8.7376455425896993E-3</v>
      </c>
      <c r="KN17" s="1"/>
      <c r="KO17" s="22">
        <v>8242</v>
      </c>
      <c r="KP17" s="1" t="s">
        <v>57</v>
      </c>
      <c r="KQ17" s="1">
        <v>2018</v>
      </c>
      <c r="KR17" s="1" t="s">
        <v>33</v>
      </c>
      <c r="KS17" s="1">
        <v>108865</v>
      </c>
      <c r="KT17" s="1">
        <v>11172914.4</v>
      </c>
      <c r="KU17" s="1">
        <v>9.7436529183467999E-3</v>
      </c>
      <c r="KV17" s="1"/>
      <c r="KW17" s="22">
        <v>1112</v>
      </c>
      <c r="KX17" s="1" t="s">
        <v>17</v>
      </c>
      <c r="KY17" s="1">
        <v>2019</v>
      </c>
      <c r="KZ17" s="1" t="s">
        <v>33</v>
      </c>
      <c r="LA17" s="1">
        <v>30093.8</v>
      </c>
      <c r="LB17" s="1">
        <v>3955328</v>
      </c>
      <c r="LC17" s="1">
        <v>7.6084208439855996E-3</v>
      </c>
      <c r="LD17" s="1"/>
      <c r="LE17" s="22">
        <v>2308</v>
      </c>
      <c r="LF17" s="1" t="s">
        <v>61</v>
      </c>
      <c r="LG17" s="1">
        <v>2019</v>
      </c>
      <c r="LH17" s="1" t="s">
        <v>33</v>
      </c>
      <c r="LI17" s="1">
        <v>272786.8</v>
      </c>
      <c r="LJ17" s="1">
        <v>48356774.5</v>
      </c>
      <c r="LK17" s="1">
        <v>5.6411289384074997E-3</v>
      </c>
      <c r="LL17" s="1"/>
      <c r="LM17" s="22">
        <v>3504</v>
      </c>
      <c r="LN17" s="1" t="s">
        <v>44</v>
      </c>
      <c r="LO17" s="1">
        <v>2019</v>
      </c>
      <c r="LP17" s="1" t="s">
        <v>33</v>
      </c>
      <c r="LQ17" s="1">
        <v>29500.400000000001</v>
      </c>
      <c r="LR17" s="1">
        <v>6269787.0999999996</v>
      </c>
      <c r="LS17" s="1">
        <v>4.7051677400655996E-3</v>
      </c>
      <c r="LT17" s="1"/>
      <c r="LU17" s="22">
        <v>4700</v>
      </c>
      <c r="LV17" s="1" t="s">
        <v>38</v>
      </c>
      <c r="LW17" s="1">
        <v>2019</v>
      </c>
      <c r="LX17" s="1" t="s">
        <v>33</v>
      </c>
      <c r="LY17" s="1">
        <v>27753.1</v>
      </c>
      <c r="LZ17" s="1">
        <v>6182094.5</v>
      </c>
      <c r="MA17" s="1">
        <v>4.4892713949939997E-3</v>
      </c>
      <c r="MB17" s="1"/>
      <c r="MC17" s="22">
        <v>5896</v>
      </c>
      <c r="MD17" s="1" t="s">
        <v>31</v>
      </c>
      <c r="ME17" s="1">
        <v>2019</v>
      </c>
      <c r="MF17" s="1" t="s">
        <v>33</v>
      </c>
      <c r="MG17" s="1">
        <v>63541.1</v>
      </c>
      <c r="MH17" s="1">
        <v>9237079</v>
      </c>
      <c r="MI17" s="1">
        <v>6.8789170256094998E-3</v>
      </c>
      <c r="MJ17" s="1"/>
      <c r="MK17" s="22">
        <v>7092</v>
      </c>
      <c r="ML17" s="1" t="s">
        <v>51</v>
      </c>
      <c r="MM17" s="1">
        <v>2019</v>
      </c>
      <c r="MN17" s="1" t="s">
        <v>33</v>
      </c>
      <c r="MO17" s="1">
        <v>39959.9</v>
      </c>
      <c r="MP17" s="1">
        <v>4608662</v>
      </c>
      <c r="MQ17" s="1">
        <v>8.6706076514181003E-3</v>
      </c>
      <c r="MR17" s="1"/>
      <c r="MS17" s="22">
        <v>8288</v>
      </c>
      <c r="MT17" s="1" t="s">
        <v>57</v>
      </c>
      <c r="MU17" s="1">
        <v>2019</v>
      </c>
      <c r="MV17" s="1" t="s">
        <v>33</v>
      </c>
      <c r="MW17" s="1">
        <v>110904.2</v>
      </c>
      <c r="MX17" s="1">
        <v>11338077</v>
      </c>
      <c r="MY17" s="1">
        <v>9.7815705432235008E-3</v>
      </c>
      <c r="MZ17" s="1"/>
      <c r="NA17" s="22">
        <v>1158</v>
      </c>
      <c r="NB17" s="1" t="s">
        <v>17</v>
      </c>
      <c r="NC17" s="1">
        <v>2020</v>
      </c>
      <c r="ND17" s="1" t="s">
        <v>33</v>
      </c>
      <c r="NE17" s="1">
        <v>27125.5</v>
      </c>
      <c r="NF17" s="1">
        <v>3784752.3</v>
      </c>
      <c r="NG17" s="1">
        <v>7.1670476295106001E-3</v>
      </c>
      <c r="NH17" s="1"/>
      <c r="NI17" s="22">
        <v>2354</v>
      </c>
      <c r="NJ17" s="1" t="s">
        <v>61</v>
      </c>
      <c r="NK17" s="1">
        <v>2020</v>
      </c>
      <c r="NL17" s="1" t="s">
        <v>33</v>
      </c>
      <c r="NM17" s="1">
        <v>253512.7</v>
      </c>
      <c r="NN17" s="1">
        <v>47421769.399999999</v>
      </c>
      <c r="NO17" s="1">
        <v>5.3459139801729002E-3</v>
      </c>
      <c r="NP17" s="1"/>
      <c r="NQ17" s="22">
        <v>3550</v>
      </c>
      <c r="NR17" s="1" t="s">
        <v>44</v>
      </c>
      <c r="NS17" s="1">
        <v>2020</v>
      </c>
      <c r="NT17" s="1" t="s">
        <v>33</v>
      </c>
      <c r="NU17" s="1">
        <v>26616.7</v>
      </c>
      <c r="NV17" s="1">
        <v>5955345.3666666672</v>
      </c>
      <c r="NW17" s="1">
        <v>4.4693797523447003E-3</v>
      </c>
      <c r="NX17" s="1"/>
      <c r="NY17" s="22">
        <v>4746</v>
      </c>
      <c r="NZ17" s="1" t="s">
        <v>38</v>
      </c>
      <c r="OA17" s="1">
        <v>2020</v>
      </c>
      <c r="OB17" s="1" t="s">
        <v>33</v>
      </c>
      <c r="OC17" s="1">
        <v>25959.5</v>
      </c>
      <c r="OD17" s="1">
        <v>5990228.4000000004</v>
      </c>
      <c r="OE17" s="1">
        <v>4.3336411012307001E-3</v>
      </c>
      <c r="OF17" s="1"/>
      <c r="OG17" s="22">
        <v>5942</v>
      </c>
      <c r="OH17" s="1" t="s">
        <v>31</v>
      </c>
      <c r="OI17" s="1">
        <v>2020</v>
      </c>
      <c r="OJ17" s="1" t="s">
        <v>33</v>
      </c>
      <c r="OK17" s="1">
        <v>59793.5</v>
      </c>
      <c r="OL17" s="1">
        <v>9257180.0999999996</v>
      </c>
      <c r="OM17" s="1">
        <v>6.4591483966050999E-3</v>
      </c>
      <c r="ON17" s="1"/>
      <c r="OO17" s="22">
        <v>7138</v>
      </c>
      <c r="OP17" s="1" t="s">
        <v>51</v>
      </c>
      <c r="OQ17" s="1">
        <v>2020</v>
      </c>
      <c r="OR17" s="1" t="s">
        <v>33</v>
      </c>
      <c r="OS17" s="1">
        <v>37049.599999999999</v>
      </c>
      <c r="OT17" s="1">
        <v>4352046.4000000004</v>
      </c>
      <c r="OU17" s="1">
        <v>8.5131445289737002E-3</v>
      </c>
      <c r="OV17" s="1"/>
      <c r="OW17" s="22">
        <v>8334</v>
      </c>
      <c r="OX17" s="1" t="s">
        <v>57</v>
      </c>
      <c r="OY17" s="1">
        <v>2020</v>
      </c>
      <c r="OZ17" s="1" t="s">
        <v>33</v>
      </c>
      <c r="PA17" s="1">
        <v>99117.7</v>
      </c>
      <c r="PB17" s="1">
        <v>11082248.733333331</v>
      </c>
      <c r="PC17" s="1">
        <v>8.9438256066091994E-3</v>
      </c>
      <c r="PD17" s="1"/>
      <c r="PE17" s="22">
        <v>8380</v>
      </c>
      <c r="PF17" s="1" t="s">
        <v>17</v>
      </c>
      <c r="PG17" s="1">
        <v>2021</v>
      </c>
      <c r="PH17" s="1" t="s">
        <v>33</v>
      </c>
      <c r="PI17" s="1">
        <v>33133.255635146626</v>
      </c>
      <c r="PJ17" s="1">
        <v>4622999.2247741111</v>
      </c>
      <c r="PK17" s="1">
        <v>7.1670476295106001E-3</v>
      </c>
      <c r="PL17" s="1"/>
      <c r="PM17" s="22">
        <v>9300</v>
      </c>
      <c r="PN17" s="1" t="s">
        <v>61</v>
      </c>
      <c r="PO17" s="1">
        <v>2021</v>
      </c>
      <c r="PP17" s="1" t="s">
        <v>33</v>
      </c>
      <c r="PQ17" s="1">
        <v>281139.68517708039</v>
      </c>
      <c r="PR17" s="1">
        <v>52589638.782026872</v>
      </c>
      <c r="PS17" s="1">
        <v>5.3459139801729002E-3</v>
      </c>
      <c r="PT17" s="1"/>
      <c r="PU17" s="22">
        <v>10220</v>
      </c>
      <c r="PV17" s="1" t="s">
        <v>44</v>
      </c>
      <c r="PW17" s="1">
        <v>2021</v>
      </c>
      <c r="PX17" s="1" t="s">
        <v>33</v>
      </c>
      <c r="PY17" s="1">
        <v>31023.96392883344</v>
      </c>
      <c r="PZ17" s="1">
        <v>6941447.2808129201</v>
      </c>
      <c r="QA17" s="1">
        <v>4.4693797523447003E-3</v>
      </c>
      <c r="QB17" s="1"/>
      <c r="QC17" s="22">
        <v>11140</v>
      </c>
      <c r="QD17" s="1" t="s">
        <v>38</v>
      </c>
      <c r="QE17" s="1">
        <v>2021</v>
      </c>
      <c r="QF17" s="1" t="s">
        <v>33</v>
      </c>
      <c r="QG17" s="1">
        <v>29081.977085873968</v>
      </c>
      <c r="QH17" s="1">
        <v>6710748.8614170318</v>
      </c>
      <c r="QI17" s="1">
        <v>4.3336411012307001E-3</v>
      </c>
      <c r="QJ17" s="1"/>
      <c r="QK17" s="22">
        <v>12060</v>
      </c>
      <c r="QL17" s="1" t="s">
        <v>31</v>
      </c>
      <c r="QM17" s="1">
        <v>2021</v>
      </c>
      <c r="QN17" s="1" t="s">
        <v>33</v>
      </c>
      <c r="QO17" s="1">
        <v>65987.522283471772</v>
      </c>
      <c r="QP17" s="1">
        <v>10216133.49495957</v>
      </c>
      <c r="QQ17" s="1">
        <v>6.4591483966050999E-3</v>
      </c>
      <c r="QR17" s="1"/>
      <c r="QS17" s="22">
        <v>12980</v>
      </c>
      <c r="QT17" s="1" t="s">
        <v>51</v>
      </c>
      <c r="QU17" s="1">
        <v>2021</v>
      </c>
      <c r="QV17" s="1" t="s">
        <v>33</v>
      </c>
      <c r="QW17" s="1">
        <v>42327.499536560972</v>
      </c>
      <c r="QX17" s="1">
        <v>4972017.0252605537</v>
      </c>
      <c r="QY17" s="1">
        <v>8.5131445289737002E-3</v>
      </c>
      <c r="QZ17" s="1"/>
      <c r="RA17" s="22">
        <v>13900</v>
      </c>
      <c r="RB17" s="1" t="s">
        <v>57</v>
      </c>
      <c r="RC17" s="1">
        <v>2021</v>
      </c>
      <c r="RD17" s="1" t="s">
        <v>33</v>
      </c>
      <c r="RE17" s="1">
        <v>98825.0969921262</v>
      </c>
      <c r="RF17" s="1">
        <v>11049533.09007922</v>
      </c>
      <c r="RG17" s="1">
        <v>8.9438256066091994E-3</v>
      </c>
      <c r="RH17" s="1"/>
      <c r="RI17" s="22">
        <v>8426</v>
      </c>
      <c r="RJ17" s="1" t="s">
        <v>17</v>
      </c>
      <c r="RK17" s="1">
        <v>2022</v>
      </c>
      <c r="RL17" s="1" t="s">
        <v>33</v>
      </c>
      <c r="RM17" s="1">
        <v>35886.141316558482</v>
      </c>
      <c r="RN17" s="1">
        <v>5007102.3902221443</v>
      </c>
      <c r="RO17" s="1">
        <v>7.1670476295106001E-3</v>
      </c>
      <c r="RP17" s="1"/>
      <c r="RQ17" s="22">
        <v>9346</v>
      </c>
      <c r="RR17" s="1" t="s">
        <v>61</v>
      </c>
      <c r="RS17" s="1">
        <v>2022</v>
      </c>
      <c r="RT17" s="1" t="s">
        <v>33</v>
      </c>
      <c r="RU17" s="1">
        <v>308750.0497623352</v>
      </c>
      <c r="RV17" s="1">
        <v>57754399.13688051</v>
      </c>
      <c r="RW17" s="1">
        <v>5.3459139801729002E-3</v>
      </c>
      <c r="RX17" s="1"/>
      <c r="RY17" s="22">
        <v>10266</v>
      </c>
      <c r="RZ17" s="1" t="s">
        <v>44</v>
      </c>
      <c r="SA17" s="1">
        <v>2022</v>
      </c>
      <c r="SB17" s="1" t="s">
        <v>33</v>
      </c>
      <c r="SC17" s="1">
        <v>30734.9759594774</v>
      </c>
      <c r="SD17" s="1">
        <v>6876787.7563667288</v>
      </c>
      <c r="SE17" s="1">
        <v>4.4693797523447003E-3</v>
      </c>
      <c r="SF17" s="1"/>
      <c r="SG17" s="22">
        <v>11186</v>
      </c>
      <c r="SH17" s="1" t="s">
        <v>38</v>
      </c>
      <c r="SI17" s="1">
        <v>2022</v>
      </c>
      <c r="SJ17" s="1" t="s">
        <v>33</v>
      </c>
      <c r="SK17" s="1">
        <v>27414.074333535391</v>
      </c>
      <c r="SL17" s="1">
        <v>6325875.5612572851</v>
      </c>
      <c r="SM17" s="1">
        <v>4.3336411012307001E-3</v>
      </c>
      <c r="SN17" s="1"/>
      <c r="SO17" s="22">
        <v>12106</v>
      </c>
      <c r="SP17" s="1" t="s">
        <v>31</v>
      </c>
      <c r="SQ17" s="1">
        <v>2022</v>
      </c>
      <c r="SR17" s="1" t="s">
        <v>33</v>
      </c>
      <c r="SS17" s="1">
        <v>63184.611866583044</v>
      </c>
      <c r="ST17" s="1">
        <v>9782189.227885304</v>
      </c>
      <c r="SU17" s="1">
        <v>6.4591483966050999E-3</v>
      </c>
      <c r="SV17" s="1"/>
      <c r="SW17" s="22">
        <v>13026</v>
      </c>
      <c r="SX17" s="1" t="s">
        <v>51</v>
      </c>
      <c r="SY17" s="1">
        <v>2022</v>
      </c>
      <c r="SZ17" s="1" t="s">
        <v>33</v>
      </c>
      <c r="TA17" s="1">
        <v>40868.03105248775</v>
      </c>
      <c r="TB17" s="1">
        <v>4800579.963537232</v>
      </c>
      <c r="TC17" s="1">
        <v>8.5131445289737002E-3</v>
      </c>
      <c r="TD17" s="1"/>
      <c r="TE17" s="22">
        <v>13946</v>
      </c>
      <c r="TF17" s="1" t="s">
        <v>57</v>
      </c>
      <c r="TG17" s="1">
        <v>2022</v>
      </c>
      <c r="TH17" s="1" t="s">
        <v>33</v>
      </c>
      <c r="TI17" s="1">
        <v>83593.070840331842</v>
      </c>
      <c r="TJ17" s="1">
        <v>9346455.8140041605</v>
      </c>
      <c r="TK17" s="1">
        <v>8.9438256066091994E-3</v>
      </c>
      <c r="TL17" s="1"/>
      <c r="TM17" s="22">
        <v>8472</v>
      </c>
      <c r="TN17" s="1" t="s">
        <v>17</v>
      </c>
      <c r="TO17" s="1">
        <v>2023</v>
      </c>
      <c r="TP17" s="1" t="s">
        <v>33</v>
      </c>
      <c r="TQ17" s="1">
        <v>35606.478407663053</v>
      </c>
      <c r="TR17" s="1">
        <v>4968081.7329930915</v>
      </c>
      <c r="TS17" s="1">
        <v>7.1670476295106001E-3</v>
      </c>
      <c r="TT17" s="1"/>
      <c r="TU17" s="22">
        <v>9392</v>
      </c>
      <c r="TV17" s="1" t="s">
        <v>61</v>
      </c>
      <c r="TW17" s="1">
        <v>2023</v>
      </c>
      <c r="TX17" s="1" t="s">
        <v>33</v>
      </c>
      <c r="TY17" s="1">
        <v>329096.02853268798</v>
      </c>
      <c r="TZ17" s="1">
        <v>61560292.543660469</v>
      </c>
      <c r="UA17" s="1">
        <v>5.3459139801729002E-3</v>
      </c>
      <c r="UB17" s="1"/>
      <c r="UC17" s="22">
        <v>10312</v>
      </c>
      <c r="UD17" s="1" t="s">
        <v>44</v>
      </c>
      <c r="UE17" s="1">
        <v>2023</v>
      </c>
      <c r="UF17" s="1" t="s">
        <v>33</v>
      </c>
      <c r="UG17" s="1">
        <v>33259.870164418091</v>
      </c>
      <c r="UH17" s="1">
        <v>7441719.4347760417</v>
      </c>
      <c r="UI17" s="1">
        <v>4.4693797523447003E-3</v>
      </c>
      <c r="UJ17" s="1"/>
      <c r="UK17" s="22">
        <v>11232</v>
      </c>
      <c r="UL17" s="1" t="s">
        <v>38</v>
      </c>
      <c r="UM17" s="1">
        <v>2023</v>
      </c>
      <c r="UN17" s="1" t="s">
        <v>33</v>
      </c>
      <c r="UO17" s="1">
        <v>29919.21270010847</v>
      </c>
      <c r="UP17" s="1">
        <v>6903943.3587640161</v>
      </c>
      <c r="UQ17" s="1">
        <v>4.3336411012307001E-3</v>
      </c>
      <c r="UR17" s="1"/>
      <c r="US17" s="22">
        <v>12152</v>
      </c>
      <c r="UT17" s="1" t="s">
        <v>31</v>
      </c>
      <c r="UU17" s="1">
        <v>2023</v>
      </c>
      <c r="UV17" s="1" t="s">
        <v>33</v>
      </c>
      <c r="UW17" s="1">
        <v>68679.651725572781</v>
      </c>
      <c r="UX17" s="1">
        <v>10632926.743356841</v>
      </c>
      <c r="UY17" s="1">
        <v>6.4591483966050999E-3</v>
      </c>
      <c r="UZ17" s="1"/>
      <c r="VA17" s="22">
        <v>13072</v>
      </c>
      <c r="VB17" s="1" t="s">
        <v>51</v>
      </c>
      <c r="VC17" s="1">
        <v>2023</v>
      </c>
      <c r="VD17" s="1" t="s">
        <v>33</v>
      </c>
      <c r="VE17" s="1">
        <v>44763.184230502688</v>
      </c>
      <c r="VF17" s="1">
        <v>5258125.7228930313</v>
      </c>
      <c r="VG17" s="1">
        <v>8.5131445289737002E-3</v>
      </c>
      <c r="VH17" s="1"/>
      <c r="VI17" s="22">
        <v>13992</v>
      </c>
      <c r="VJ17" s="1" t="s">
        <v>57</v>
      </c>
      <c r="VK17" s="1">
        <v>2023</v>
      </c>
      <c r="VL17" s="1" t="s">
        <v>33</v>
      </c>
      <c r="VM17" s="1">
        <v>82626.421895422085</v>
      </c>
      <c r="VN17" s="1">
        <v>9238375.7834414635</v>
      </c>
      <c r="VO17" s="1">
        <v>8.9438256066091994E-3</v>
      </c>
      <c r="VP17" s="1"/>
      <c r="VQ17" s="22">
        <v>8518</v>
      </c>
      <c r="VR17" s="1" t="s">
        <v>17</v>
      </c>
      <c r="VS17" s="1">
        <v>2024</v>
      </c>
      <c r="VT17" s="1" t="s">
        <v>33</v>
      </c>
      <c r="VU17" s="1">
        <v>36719.068222723923</v>
      </c>
      <c r="VV17" s="1">
        <v>5123318.5714479852</v>
      </c>
      <c r="VW17" s="1">
        <v>7.1670476295106001E-3</v>
      </c>
      <c r="VX17" s="1"/>
      <c r="VY17" s="22">
        <v>9438</v>
      </c>
      <c r="VZ17" s="1" t="s">
        <v>61</v>
      </c>
      <c r="WA17" s="1">
        <v>2024</v>
      </c>
      <c r="WB17" s="1" t="s">
        <v>33</v>
      </c>
      <c r="WC17" s="1">
        <v>346478.79321675311</v>
      </c>
      <c r="WD17" s="1">
        <v>64811890.820126347</v>
      </c>
      <c r="WE17" s="1">
        <v>5.3459139801729002E-3</v>
      </c>
      <c r="WF17" s="1"/>
      <c r="WG17" s="22">
        <v>10358</v>
      </c>
      <c r="WH17" s="1" t="s">
        <v>44</v>
      </c>
      <c r="WI17" s="1">
        <v>2024</v>
      </c>
      <c r="WJ17" s="1" t="s">
        <v>33</v>
      </c>
      <c r="WK17" s="1">
        <v>35963.901379051822</v>
      </c>
      <c r="WL17" s="1">
        <v>8046732.0684004631</v>
      </c>
      <c r="WM17" s="1">
        <v>4.4693797523447003E-3</v>
      </c>
      <c r="WN17" s="1"/>
      <c r="WO17" s="22">
        <v>11278</v>
      </c>
      <c r="WP17" s="1" t="s">
        <v>38</v>
      </c>
      <c r="WQ17" s="1">
        <v>2024</v>
      </c>
      <c r="WR17" s="1" t="s">
        <v>33</v>
      </c>
      <c r="WS17" s="1">
        <v>31000.070152911201</v>
      </c>
      <c r="WT17" s="1">
        <v>7153354.2877160665</v>
      </c>
      <c r="WU17" s="1">
        <v>4.3336411012307001E-3</v>
      </c>
      <c r="WV17" s="1"/>
      <c r="WW17" s="22">
        <v>12198</v>
      </c>
      <c r="WX17" s="1" t="s">
        <v>31</v>
      </c>
      <c r="WY17" s="1">
        <v>2024</v>
      </c>
      <c r="WZ17" s="1" t="s">
        <v>33</v>
      </c>
      <c r="XA17" s="1">
        <v>70716.655868826565</v>
      </c>
      <c r="XB17" s="1">
        <v>10948294.03609846</v>
      </c>
      <c r="XC17" s="1">
        <v>6.4591483966050999E-3</v>
      </c>
      <c r="XD17" s="1"/>
      <c r="XE17" s="22">
        <v>13118</v>
      </c>
      <c r="XF17" s="1" t="s">
        <v>51</v>
      </c>
      <c r="XG17" s="1">
        <v>2024</v>
      </c>
      <c r="XH17" s="1" t="s">
        <v>33</v>
      </c>
      <c r="XI17" s="1">
        <v>46087.077920606913</v>
      </c>
      <c r="XJ17" s="1">
        <v>5413637.436055948</v>
      </c>
      <c r="XK17" s="1">
        <v>8.5131445289737002E-3</v>
      </c>
      <c r="XL17" s="1"/>
      <c r="XM17" s="22">
        <v>14038</v>
      </c>
      <c r="XN17" s="1" t="s">
        <v>57</v>
      </c>
      <c r="XO17" s="1">
        <v>2024</v>
      </c>
      <c r="XP17" s="1" t="s">
        <v>33</v>
      </c>
      <c r="XQ17" s="1">
        <v>78959.863024650665</v>
      </c>
      <c r="XR17" s="1">
        <v>8828421.583522588</v>
      </c>
      <c r="XS17" s="1">
        <v>8.9438256066091994E-3</v>
      </c>
      <c r="XT17" s="1"/>
    </row>
    <row r="18" spans="1:644" x14ac:dyDescent="0.25">
      <c r="A18" s="2">
        <v>9</v>
      </c>
      <c r="B18" s="1" t="s">
        <v>17</v>
      </c>
      <c r="C18" s="1" t="s">
        <v>34</v>
      </c>
      <c r="D18" s="1">
        <v>1.6690264574109059E-2</v>
      </c>
      <c r="E18" s="1">
        <v>1.242062956955375E-2</v>
      </c>
      <c r="F18" s="1">
        <v>1.1117232251364051E-2</v>
      </c>
      <c r="G18" s="1">
        <v>1.293336582668311E-2</v>
      </c>
      <c r="H18" s="1">
        <v>1.4333050541352581E-2</v>
      </c>
      <c r="I18" s="1">
        <v>1.329037692954921E-2</v>
      </c>
      <c r="J18" s="1">
        <v>8.9406907817983234E-3</v>
      </c>
      <c r="K18" s="1">
        <v>8.9406907817983182E-3</v>
      </c>
      <c r="L18" s="1">
        <v>8.9406907817983199E-3</v>
      </c>
      <c r="M18" s="1">
        <v>8.9406907817983199E-3</v>
      </c>
      <c r="N18" s="1">
        <v>8.9406907817983199E-3</v>
      </c>
      <c r="O18" s="1">
        <v>1.140803396378212E-2</v>
      </c>
      <c r="P18" s="1"/>
      <c r="Q18" s="2">
        <v>80</v>
      </c>
      <c r="R18" s="1" t="s">
        <v>31</v>
      </c>
      <c r="S18" s="19" t="s">
        <v>25</v>
      </c>
      <c r="T18" s="19">
        <v>8.9539564171113931E-3</v>
      </c>
      <c r="U18" s="1"/>
      <c r="AC18" s="22">
        <v>883</v>
      </c>
      <c r="AD18" s="1" t="s">
        <v>17</v>
      </c>
      <c r="AE18" s="1">
        <v>2014</v>
      </c>
      <c r="AF18" s="1" t="s">
        <v>34</v>
      </c>
      <c r="AG18" s="1">
        <v>68233.399999999994</v>
      </c>
      <c r="AH18" s="1">
        <v>4088215.6</v>
      </c>
      <c r="AI18" s="1">
        <v>1.6690264574109E-2</v>
      </c>
      <c r="AJ18" s="1"/>
      <c r="AK18" s="22">
        <v>2079</v>
      </c>
      <c r="AL18" s="1" t="s">
        <v>61</v>
      </c>
      <c r="AM18" s="1">
        <v>2014</v>
      </c>
      <c r="AN18" s="1" t="s">
        <v>34</v>
      </c>
      <c r="AO18" s="1">
        <v>743857.1</v>
      </c>
      <c r="AP18" s="1">
        <v>40350049.200000003</v>
      </c>
      <c r="AQ18" s="1">
        <v>1.8435097719781701E-2</v>
      </c>
      <c r="AR18" s="1"/>
      <c r="AS18" s="22">
        <v>3275</v>
      </c>
      <c r="AT18" s="1" t="s">
        <v>44</v>
      </c>
      <c r="AU18" s="1">
        <v>2014</v>
      </c>
      <c r="AV18" s="1" t="s">
        <v>34</v>
      </c>
      <c r="AW18" s="1">
        <v>56235.5</v>
      </c>
      <c r="AX18" s="1">
        <v>6735816.8000000007</v>
      </c>
      <c r="AY18" s="1">
        <v>8.3487276554196008E-3</v>
      </c>
      <c r="AZ18" s="1"/>
      <c r="BA18" s="22">
        <v>4471</v>
      </c>
      <c r="BB18" s="1" t="s">
        <v>38</v>
      </c>
      <c r="BC18" s="1">
        <v>2014</v>
      </c>
      <c r="BD18" s="1" t="s">
        <v>34</v>
      </c>
      <c r="BE18" s="1">
        <v>65354.3</v>
      </c>
      <c r="BF18" s="1">
        <v>6538596.7000000002</v>
      </c>
      <c r="BG18" s="1">
        <v>9.9951569118798007E-3</v>
      </c>
      <c r="BH18" s="1"/>
      <c r="BI18" s="22">
        <v>5667</v>
      </c>
      <c r="BJ18" s="1" t="s">
        <v>31</v>
      </c>
      <c r="BK18" s="1">
        <v>2014</v>
      </c>
      <c r="BL18" s="1" t="s">
        <v>34</v>
      </c>
      <c r="BM18" s="1">
        <v>92263.2</v>
      </c>
      <c r="BN18" s="1">
        <v>9155477.5</v>
      </c>
      <c r="BO18" s="1">
        <v>1.0077377176668199E-2</v>
      </c>
      <c r="BP18" s="1"/>
      <c r="BQ18" s="22">
        <v>6863</v>
      </c>
      <c r="BR18" s="1" t="s">
        <v>51</v>
      </c>
      <c r="BS18" s="1">
        <v>2014</v>
      </c>
      <c r="BT18" s="1" t="s">
        <v>34</v>
      </c>
      <c r="BU18" s="1">
        <v>72830.600000000006</v>
      </c>
      <c r="BV18" s="1">
        <v>4981875.5</v>
      </c>
      <c r="BW18" s="1">
        <v>1.46191128220687E-2</v>
      </c>
      <c r="BX18" s="1"/>
      <c r="BY18" s="22">
        <v>8059</v>
      </c>
      <c r="BZ18" s="1" t="s">
        <v>57</v>
      </c>
      <c r="CA18" s="1">
        <v>2014</v>
      </c>
      <c r="CB18" s="1" t="s">
        <v>34</v>
      </c>
      <c r="CC18" s="1">
        <v>204465.2</v>
      </c>
      <c r="CD18" s="1">
        <v>11026913.800000001</v>
      </c>
      <c r="CE18" s="1">
        <v>1.8542377650580699E-2</v>
      </c>
      <c r="CF18" s="1"/>
      <c r="CG18" s="22">
        <v>929</v>
      </c>
      <c r="CH18" s="1" t="s">
        <v>17</v>
      </c>
      <c r="CI18" s="1">
        <v>2015</v>
      </c>
      <c r="CJ18" s="1" t="s">
        <v>34</v>
      </c>
      <c r="CK18" s="1">
        <v>44157</v>
      </c>
      <c r="CL18" s="1">
        <v>3555133.8</v>
      </c>
      <c r="CM18" s="1">
        <v>1.24206295695537E-2</v>
      </c>
      <c r="CN18" s="1"/>
      <c r="CO18" s="22">
        <v>2125</v>
      </c>
      <c r="CP18" s="1" t="s">
        <v>61</v>
      </c>
      <c r="CQ18" s="1">
        <v>2015</v>
      </c>
      <c r="CR18" s="1" t="s">
        <v>34</v>
      </c>
      <c r="CS18" s="1">
        <v>477491.9</v>
      </c>
      <c r="CT18" s="1">
        <v>41208556.399999999</v>
      </c>
      <c r="CU18" s="1">
        <v>1.15872027975238E-2</v>
      </c>
      <c r="CV18" s="1"/>
      <c r="CW18" s="22">
        <v>3321</v>
      </c>
      <c r="CX18" s="1" t="s">
        <v>44</v>
      </c>
      <c r="CY18" s="1">
        <v>2015</v>
      </c>
      <c r="CZ18" s="1" t="s">
        <v>34</v>
      </c>
      <c r="DA18" s="1">
        <v>34984.800000000003</v>
      </c>
      <c r="DB18" s="1">
        <v>6404349.4000000004</v>
      </c>
      <c r="DC18" s="1">
        <v>5.4626626086327996E-3</v>
      </c>
      <c r="DD18" s="1"/>
      <c r="DE18" s="22">
        <v>4517</v>
      </c>
      <c r="DF18" s="1" t="s">
        <v>38</v>
      </c>
      <c r="DG18" s="1">
        <v>2015</v>
      </c>
      <c r="DH18" s="1" t="s">
        <v>34</v>
      </c>
      <c r="DI18" s="1">
        <v>39337.300000000003</v>
      </c>
      <c r="DJ18" s="1">
        <v>5531517.5999999996</v>
      </c>
      <c r="DK18" s="1">
        <v>7.1114841973926998E-3</v>
      </c>
      <c r="DL18" s="1"/>
      <c r="DM18" s="22">
        <v>5713</v>
      </c>
      <c r="DN18" s="1" t="s">
        <v>31</v>
      </c>
      <c r="DO18" s="1">
        <v>2015</v>
      </c>
      <c r="DP18" s="1" t="s">
        <v>34</v>
      </c>
      <c r="DQ18" s="1">
        <v>60921.599999999999</v>
      </c>
      <c r="DR18" s="1">
        <v>7894528</v>
      </c>
      <c r="DS18" s="1">
        <v>7.7169401387898002E-3</v>
      </c>
      <c r="DT18" s="1"/>
      <c r="DU18" s="22">
        <v>6909</v>
      </c>
      <c r="DV18" s="1" t="s">
        <v>51</v>
      </c>
      <c r="DW18" s="1">
        <v>2015</v>
      </c>
      <c r="DX18" s="1" t="s">
        <v>34</v>
      </c>
      <c r="DY18" s="1">
        <v>46602.2</v>
      </c>
      <c r="DZ18" s="1">
        <v>4209274.5999999996</v>
      </c>
      <c r="EA18" s="1">
        <v>1.1071313807847E-2</v>
      </c>
      <c r="EB18" s="1"/>
      <c r="EC18" s="22">
        <v>8105</v>
      </c>
      <c r="ED18" s="1" t="s">
        <v>57</v>
      </c>
      <c r="EE18" s="1">
        <v>2015</v>
      </c>
      <c r="EF18" s="1" t="s">
        <v>34</v>
      </c>
      <c r="EG18" s="1">
        <v>134341.20000000001</v>
      </c>
      <c r="EH18" s="1">
        <v>9729477.0999999996</v>
      </c>
      <c r="EI18" s="1">
        <v>1.38076485117581E-2</v>
      </c>
      <c r="EJ18" s="1"/>
      <c r="EK18" s="22">
        <v>975</v>
      </c>
      <c r="EL18" s="1" t="s">
        <v>17</v>
      </c>
      <c r="EM18" s="1">
        <v>2016</v>
      </c>
      <c r="EN18" s="1" t="s">
        <v>34</v>
      </c>
      <c r="EO18" s="1">
        <v>38503.5</v>
      </c>
      <c r="EP18" s="1">
        <v>3463407</v>
      </c>
      <c r="EQ18" s="1">
        <v>1.1117232251364E-2</v>
      </c>
      <c r="ER18" s="1"/>
      <c r="ES18" s="22">
        <v>2171</v>
      </c>
      <c r="ET18" s="1" t="s">
        <v>61</v>
      </c>
      <c r="EU18" s="1">
        <v>2016</v>
      </c>
      <c r="EV18" s="1" t="s">
        <v>34</v>
      </c>
      <c r="EW18" s="1">
        <v>409700.6</v>
      </c>
      <c r="EX18" s="1">
        <v>42141395.200000003</v>
      </c>
      <c r="EY18" s="1">
        <v>9.7220464119801998E-3</v>
      </c>
      <c r="EZ18" s="1"/>
      <c r="FA18" s="22">
        <v>3367</v>
      </c>
      <c r="FB18" s="1" t="s">
        <v>44</v>
      </c>
      <c r="FC18" s="1">
        <v>2016</v>
      </c>
      <c r="FD18" s="1" t="s">
        <v>34</v>
      </c>
      <c r="FE18" s="1">
        <v>29023.599999999999</v>
      </c>
      <c r="FF18" s="1">
        <v>5868597.7999999998</v>
      </c>
      <c r="FG18" s="1">
        <v>4.9455766077544996E-3</v>
      </c>
      <c r="FH18" s="1"/>
      <c r="FI18" s="22">
        <v>4563</v>
      </c>
      <c r="FJ18" s="1" t="s">
        <v>38</v>
      </c>
      <c r="FK18" s="1">
        <v>2016</v>
      </c>
      <c r="FL18" s="1" t="s">
        <v>34</v>
      </c>
      <c r="FM18" s="1">
        <v>32739</v>
      </c>
      <c r="FN18" s="1">
        <v>5582986.5</v>
      </c>
      <c r="FO18" s="1">
        <v>5.8640657648016004E-3</v>
      </c>
      <c r="FP18" s="1"/>
      <c r="FQ18" s="22">
        <v>5759</v>
      </c>
      <c r="FR18" s="1" t="s">
        <v>31</v>
      </c>
      <c r="FS18" s="1">
        <v>2016</v>
      </c>
      <c r="FT18" s="1" t="s">
        <v>34</v>
      </c>
      <c r="FU18" s="1">
        <v>54670.8</v>
      </c>
      <c r="FV18" s="1">
        <v>8130820.9000000004</v>
      </c>
      <c r="FW18" s="1">
        <v>6.7238967224083996E-3</v>
      </c>
      <c r="FX18" s="1"/>
      <c r="FY18" s="22">
        <v>6955</v>
      </c>
      <c r="FZ18" s="1" t="s">
        <v>51</v>
      </c>
      <c r="GA18" s="1">
        <v>2016</v>
      </c>
      <c r="GB18" s="1" t="s">
        <v>34</v>
      </c>
      <c r="GC18" s="1">
        <v>39083.699999999997</v>
      </c>
      <c r="GD18" s="1">
        <v>4230502.5999999996</v>
      </c>
      <c r="GE18" s="1">
        <v>9.2385476846177997E-3</v>
      </c>
      <c r="GF18" s="1"/>
      <c r="GG18" s="22">
        <v>8151</v>
      </c>
      <c r="GH18" s="1" t="s">
        <v>57</v>
      </c>
      <c r="GI18" s="1">
        <v>2016</v>
      </c>
      <c r="GJ18" s="1" t="s">
        <v>34</v>
      </c>
      <c r="GK18" s="1">
        <v>129619.7</v>
      </c>
      <c r="GL18" s="1">
        <v>10773649.5</v>
      </c>
      <c r="GM18" s="1">
        <v>1.20311784785647E-2</v>
      </c>
      <c r="GN18" s="1"/>
      <c r="GO18" s="22">
        <v>1021</v>
      </c>
      <c r="GP18" s="1" t="s">
        <v>17</v>
      </c>
      <c r="GQ18" s="1">
        <v>2017</v>
      </c>
      <c r="GR18" s="1" t="s">
        <v>34</v>
      </c>
      <c r="GS18" s="1">
        <v>48108.7</v>
      </c>
      <c r="GT18" s="1">
        <v>3719735.5</v>
      </c>
      <c r="GU18" s="1">
        <v>1.2933365826683099E-2</v>
      </c>
      <c r="GV18" s="1"/>
      <c r="GW18" s="22">
        <v>2217</v>
      </c>
      <c r="GX18" s="1" t="s">
        <v>61</v>
      </c>
      <c r="GY18" s="1">
        <v>2017</v>
      </c>
      <c r="GZ18" s="1" t="s">
        <v>34</v>
      </c>
      <c r="HA18" s="1">
        <v>511512.1</v>
      </c>
      <c r="HB18" s="1">
        <v>44107004.100000001</v>
      </c>
      <c r="HC18" s="1">
        <v>1.1597071948942401E-2</v>
      </c>
      <c r="HD18" s="1"/>
      <c r="HE18" s="22">
        <v>3413</v>
      </c>
      <c r="HF18" s="1" t="s">
        <v>44</v>
      </c>
      <c r="HG18" s="1">
        <v>2017</v>
      </c>
      <c r="HH18" s="1" t="s">
        <v>34</v>
      </c>
      <c r="HI18" s="1">
        <v>34751.300000000003</v>
      </c>
      <c r="HJ18" s="1">
        <v>5855367.5</v>
      </c>
      <c r="HK18" s="1">
        <v>5.9349477210439002E-3</v>
      </c>
      <c r="HL18" s="1"/>
      <c r="HM18" s="22">
        <v>4609</v>
      </c>
      <c r="HN18" s="1" t="s">
        <v>38</v>
      </c>
      <c r="HO18" s="1">
        <v>2017</v>
      </c>
      <c r="HP18" s="1" t="s">
        <v>34</v>
      </c>
      <c r="HQ18" s="1">
        <v>38538.800000000003</v>
      </c>
      <c r="HR18" s="1">
        <v>5923445.7000000002</v>
      </c>
      <c r="HS18" s="1">
        <v>6.5061455699678E-3</v>
      </c>
      <c r="HT18" s="1"/>
      <c r="HU18" s="22">
        <v>5805</v>
      </c>
      <c r="HV18" s="1" t="s">
        <v>31</v>
      </c>
      <c r="HW18" s="1">
        <v>2017</v>
      </c>
      <c r="HX18" s="1" t="s">
        <v>34</v>
      </c>
      <c r="HY18" s="1">
        <v>57816</v>
      </c>
      <c r="HZ18" s="1">
        <v>8686095.3000000007</v>
      </c>
      <c r="IA18" s="1">
        <v>6.6561553843415997E-3</v>
      </c>
      <c r="IB18" s="1"/>
      <c r="IC18" s="22">
        <v>7001</v>
      </c>
      <c r="ID18" s="1" t="s">
        <v>51</v>
      </c>
      <c r="IE18" s="1">
        <v>2017</v>
      </c>
      <c r="IF18" s="1" t="s">
        <v>34</v>
      </c>
      <c r="IG18" s="1">
        <v>49811.4</v>
      </c>
      <c r="IH18" s="1">
        <v>4472691.8</v>
      </c>
      <c r="II18" s="1">
        <v>1.11367834466036E-2</v>
      </c>
      <c r="IJ18" s="1"/>
      <c r="IK18" s="22">
        <v>8197</v>
      </c>
      <c r="IL18" s="1" t="s">
        <v>57</v>
      </c>
      <c r="IM18" s="1">
        <v>2017</v>
      </c>
      <c r="IN18" s="1" t="s">
        <v>34</v>
      </c>
      <c r="IO18" s="1">
        <v>144167.20000000001</v>
      </c>
      <c r="IP18" s="1">
        <v>10750260.5</v>
      </c>
      <c r="IQ18" s="1">
        <v>1.3410577352986E-2</v>
      </c>
      <c r="IR18" s="1"/>
      <c r="IS18" s="22">
        <v>1067</v>
      </c>
      <c r="IT18" s="1" t="s">
        <v>17</v>
      </c>
      <c r="IU18" s="1">
        <v>2018</v>
      </c>
      <c r="IV18" s="1" t="s">
        <v>34</v>
      </c>
      <c r="IW18" s="1">
        <v>55958.6</v>
      </c>
      <c r="IX18" s="1">
        <v>3904165.4</v>
      </c>
      <c r="IY18" s="1">
        <v>1.4333050541352499E-2</v>
      </c>
      <c r="IZ18" s="1"/>
      <c r="JA18" s="22">
        <v>2263</v>
      </c>
      <c r="JB18" s="1" t="s">
        <v>61</v>
      </c>
      <c r="JC18" s="1">
        <v>2018</v>
      </c>
      <c r="JD18" s="1" t="s">
        <v>34</v>
      </c>
      <c r="JE18" s="1">
        <v>639201.4</v>
      </c>
      <c r="JF18" s="1">
        <v>46669099.200000003</v>
      </c>
      <c r="JG18" s="1">
        <v>1.36964589194384E-2</v>
      </c>
      <c r="JH18" s="1"/>
      <c r="JI18" s="22">
        <v>3459</v>
      </c>
      <c r="JJ18" s="1" t="s">
        <v>44</v>
      </c>
      <c r="JK18" s="1">
        <v>2018</v>
      </c>
      <c r="JL18" s="1" t="s">
        <v>34</v>
      </c>
      <c r="JM18" s="1">
        <v>41520.699999999997</v>
      </c>
      <c r="JN18" s="1">
        <v>6336724.7000000002</v>
      </c>
      <c r="JO18" s="1">
        <v>6.5523913323864997E-3</v>
      </c>
      <c r="JP18" s="1"/>
      <c r="JQ18" s="22">
        <v>4655</v>
      </c>
      <c r="JR18" s="1" t="s">
        <v>38</v>
      </c>
      <c r="JS18" s="1">
        <v>2018</v>
      </c>
      <c r="JT18" s="1" t="s">
        <v>34</v>
      </c>
      <c r="JU18" s="1">
        <v>45902.3</v>
      </c>
      <c r="JV18" s="1">
        <v>6390706</v>
      </c>
      <c r="JW18" s="1">
        <v>7.1826649512588998E-3</v>
      </c>
      <c r="JX18" s="1"/>
      <c r="JY18" s="22">
        <v>5851</v>
      </c>
      <c r="JZ18" s="1" t="s">
        <v>31</v>
      </c>
      <c r="KA18" s="1">
        <v>2018</v>
      </c>
      <c r="KB18" s="1" t="s">
        <v>34</v>
      </c>
      <c r="KC18" s="1">
        <v>66623.100000000006</v>
      </c>
      <c r="KD18" s="1">
        <v>9443218.3000000007</v>
      </c>
      <c r="KE18" s="1">
        <v>7.0551265345629001E-3</v>
      </c>
      <c r="KF18" s="1"/>
      <c r="KG18" s="22">
        <v>7047</v>
      </c>
      <c r="KH18" s="1" t="s">
        <v>51</v>
      </c>
      <c r="KI18" s="1">
        <v>2018</v>
      </c>
      <c r="KJ18" s="1" t="s">
        <v>34</v>
      </c>
      <c r="KK18" s="1">
        <v>58781.1</v>
      </c>
      <c r="KL18" s="1">
        <v>4803387.8</v>
      </c>
      <c r="KM18" s="1">
        <v>1.2237425427112E-2</v>
      </c>
      <c r="KN18" s="1"/>
      <c r="KO18" s="22">
        <v>8243</v>
      </c>
      <c r="KP18" s="1" t="s">
        <v>57</v>
      </c>
      <c r="KQ18" s="1">
        <v>2018</v>
      </c>
      <c r="KR18" s="1" t="s">
        <v>34</v>
      </c>
      <c r="KS18" s="1">
        <v>162561.79999999999</v>
      </c>
      <c r="KT18" s="1">
        <v>11172914.4</v>
      </c>
      <c r="KU18" s="1">
        <v>1.4549632636584001E-2</v>
      </c>
      <c r="KV18" s="1"/>
      <c r="KW18" s="22">
        <v>1113</v>
      </c>
      <c r="KX18" s="1" t="s">
        <v>17</v>
      </c>
      <c r="KY18" s="1">
        <v>2019</v>
      </c>
      <c r="KZ18" s="1" t="s">
        <v>34</v>
      </c>
      <c r="LA18" s="1">
        <v>52567.8</v>
      </c>
      <c r="LB18" s="1">
        <v>3955328</v>
      </c>
      <c r="LC18" s="1">
        <v>1.3290376929549199E-2</v>
      </c>
      <c r="LD18" s="1"/>
      <c r="LE18" s="22">
        <v>2309</v>
      </c>
      <c r="LF18" s="1" t="s">
        <v>61</v>
      </c>
      <c r="LG18" s="1">
        <v>2019</v>
      </c>
      <c r="LH18" s="1" t="s">
        <v>34</v>
      </c>
      <c r="LI18" s="1">
        <v>569112.30000000005</v>
      </c>
      <c r="LJ18" s="1">
        <v>48356774.5</v>
      </c>
      <c r="LK18" s="1">
        <v>1.17690293838767E-2</v>
      </c>
      <c r="LL18" s="1"/>
      <c r="LM18" s="22">
        <v>3505</v>
      </c>
      <c r="LN18" s="1" t="s">
        <v>44</v>
      </c>
      <c r="LO18" s="1">
        <v>2019</v>
      </c>
      <c r="LP18" s="1" t="s">
        <v>34</v>
      </c>
      <c r="LQ18" s="1">
        <v>39228.800000000003</v>
      </c>
      <c r="LR18" s="1">
        <v>6269787.0999999996</v>
      </c>
      <c r="LS18" s="1">
        <v>6.2567993736182001E-3</v>
      </c>
      <c r="LT18" s="1"/>
      <c r="LU18" s="22">
        <v>4701</v>
      </c>
      <c r="LV18" s="1" t="s">
        <v>38</v>
      </c>
      <c r="LW18" s="1">
        <v>2019</v>
      </c>
      <c r="LX18" s="1" t="s">
        <v>34</v>
      </c>
      <c r="LY18" s="1">
        <v>39540.1</v>
      </c>
      <c r="LZ18" s="1">
        <v>6182094.5</v>
      </c>
      <c r="MA18" s="1">
        <v>6.3959067594323996E-3</v>
      </c>
      <c r="MB18" s="1"/>
      <c r="MC18" s="22">
        <v>5897</v>
      </c>
      <c r="MD18" s="1" t="s">
        <v>31</v>
      </c>
      <c r="ME18" s="1">
        <v>2019</v>
      </c>
      <c r="MF18" s="1" t="s">
        <v>34</v>
      </c>
      <c r="MG18" s="1">
        <v>64099.7</v>
      </c>
      <c r="MH18" s="1">
        <v>9237079</v>
      </c>
      <c r="MI18" s="1">
        <v>6.9393906883334E-3</v>
      </c>
      <c r="MJ18" s="1"/>
      <c r="MK18" s="22">
        <v>7093</v>
      </c>
      <c r="ML18" s="1" t="s">
        <v>51</v>
      </c>
      <c r="MM18" s="1">
        <v>2019</v>
      </c>
      <c r="MN18" s="1" t="s">
        <v>34</v>
      </c>
      <c r="MO18" s="1">
        <v>55913.9</v>
      </c>
      <c r="MP18" s="1">
        <v>4608662</v>
      </c>
      <c r="MQ18" s="1">
        <v>1.2132349909800199E-2</v>
      </c>
      <c r="MR18" s="1"/>
      <c r="MS18" s="22">
        <v>8289</v>
      </c>
      <c r="MT18" s="1" t="s">
        <v>57</v>
      </c>
      <c r="MU18" s="1">
        <v>2019</v>
      </c>
      <c r="MV18" s="1" t="s">
        <v>34</v>
      </c>
      <c r="MW18" s="1">
        <v>156043.4</v>
      </c>
      <c r="MX18" s="1">
        <v>11338077</v>
      </c>
      <c r="MY18" s="1">
        <v>1.37627747633042E-2</v>
      </c>
      <c r="MZ18" s="1"/>
      <c r="NA18" s="22">
        <v>1159</v>
      </c>
      <c r="NB18" s="1" t="s">
        <v>17</v>
      </c>
      <c r="NC18" s="1">
        <v>2020</v>
      </c>
      <c r="ND18" s="1" t="s">
        <v>34</v>
      </c>
      <c r="NE18" s="1">
        <v>33838.300000000003</v>
      </c>
      <c r="NF18" s="1">
        <v>3784752.3</v>
      </c>
      <c r="NG18" s="1">
        <v>8.9406907817983008E-3</v>
      </c>
      <c r="NH18" s="1"/>
      <c r="NI18" s="22">
        <v>2355</v>
      </c>
      <c r="NJ18" s="1" t="s">
        <v>61</v>
      </c>
      <c r="NK18" s="1">
        <v>2020</v>
      </c>
      <c r="NL18" s="1" t="s">
        <v>34</v>
      </c>
      <c r="NM18" s="1">
        <v>327697.90000000002</v>
      </c>
      <c r="NN18" s="1">
        <v>47421769.399999999</v>
      </c>
      <c r="NO18" s="1">
        <v>6.9102841194279997E-3</v>
      </c>
      <c r="NP18" s="1"/>
      <c r="NQ18" s="22">
        <v>3551</v>
      </c>
      <c r="NR18" s="1" t="s">
        <v>44</v>
      </c>
      <c r="NS18" s="1">
        <v>2020</v>
      </c>
      <c r="NT18" s="1" t="s">
        <v>34</v>
      </c>
      <c r="NU18" s="1">
        <v>26565.8</v>
      </c>
      <c r="NV18" s="1">
        <v>5955345.3666666672</v>
      </c>
      <c r="NW18" s="1">
        <v>4.4608328089070998E-3</v>
      </c>
      <c r="NX18" s="1"/>
      <c r="NY18" s="22">
        <v>4747</v>
      </c>
      <c r="NZ18" s="1" t="s">
        <v>38</v>
      </c>
      <c r="OA18" s="1">
        <v>2020</v>
      </c>
      <c r="OB18" s="1" t="s">
        <v>34</v>
      </c>
      <c r="OC18" s="1">
        <v>22494.9</v>
      </c>
      <c r="OD18" s="1">
        <v>5990228.4000000004</v>
      </c>
      <c r="OE18" s="1">
        <v>3.7552658259241002E-3</v>
      </c>
      <c r="OF18" s="1"/>
      <c r="OG18" s="22">
        <v>5943</v>
      </c>
      <c r="OH18" s="1" t="s">
        <v>31</v>
      </c>
      <c r="OI18" s="1">
        <v>2020</v>
      </c>
      <c r="OJ18" s="1" t="s">
        <v>34</v>
      </c>
      <c r="OK18" s="1">
        <v>44430.6</v>
      </c>
      <c r="OL18" s="1">
        <v>9257180.0999999996</v>
      </c>
      <c r="OM18" s="1">
        <v>4.7995825424202001E-3</v>
      </c>
      <c r="ON18" s="1"/>
      <c r="OO18" s="22">
        <v>7139</v>
      </c>
      <c r="OP18" s="1" t="s">
        <v>51</v>
      </c>
      <c r="OQ18" s="1">
        <v>2020</v>
      </c>
      <c r="OR18" s="1" t="s">
        <v>34</v>
      </c>
      <c r="OS18" s="1">
        <v>31875.1</v>
      </c>
      <c r="OT18" s="1">
        <v>4352046.4000000004</v>
      </c>
      <c r="OU18" s="1">
        <v>7.3241636394317002E-3</v>
      </c>
      <c r="OV18" s="1"/>
      <c r="OW18" s="22">
        <v>8335</v>
      </c>
      <c r="OX18" s="1" t="s">
        <v>57</v>
      </c>
      <c r="OY18" s="1">
        <v>2020</v>
      </c>
      <c r="OZ18" s="1" t="s">
        <v>34</v>
      </c>
      <c r="PA18" s="1">
        <v>109557.5</v>
      </c>
      <c r="PB18" s="1">
        <v>11082248.733333331</v>
      </c>
      <c r="PC18" s="1">
        <v>9.8858546344002002E-3</v>
      </c>
      <c r="PD18" s="1"/>
      <c r="PE18" s="22">
        <v>8381</v>
      </c>
      <c r="PF18" s="1" t="s">
        <v>17</v>
      </c>
      <c r="PG18" s="1">
        <v>2021</v>
      </c>
      <c r="PH18" s="1" t="s">
        <v>34</v>
      </c>
      <c r="PI18" s="1">
        <v>41332.806553198578</v>
      </c>
      <c r="PJ18" s="1">
        <v>4622999.2247741111</v>
      </c>
      <c r="PK18" s="1">
        <v>8.9406907817983008E-3</v>
      </c>
      <c r="PL18" s="1"/>
      <c r="PM18" s="22">
        <v>9301</v>
      </c>
      <c r="PN18" s="1" t="s">
        <v>61</v>
      </c>
      <c r="PO18" s="1">
        <v>2021</v>
      </c>
      <c r="PP18" s="1" t="s">
        <v>34</v>
      </c>
      <c r="PQ18" s="1">
        <v>363409.34572189522</v>
      </c>
      <c r="PR18" s="1">
        <v>52589638.782026872</v>
      </c>
      <c r="PS18" s="1">
        <v>6.9102841194279997E-3</v>
      </c>
      <c r="PT18" s="1"/>
      <c r="PU18" s="22">
        <v>10221</v>
      </c>
      <c r="PV18" s="1" t="s">
        <v>44</v>
      </c>
      <c r="PW18" s="1">
        <v>2021</v>
      </c>
      <c r="PX18" s="1" t="s">
        <v>34</v>
      </c>
      <c r="PY18" s="1">
        <v>30964.635771549249</v>
      </c>
      <c r="PZ18" s="1">
        <v>6941447.2808129201</v>
      </c>
      <c r="QA18" s="1">
        <v>4.4608328089070998E-3</v>
      </c>
      <c r="QB18" s="1"/>
      <c r="QC18" s="22">
        <v>11141</v>
      </c>
      <c r="QD18" s="1" t="s">
        <v>38</v>
      </c>
      <c r="QE18" s="1">
        <v>2021</v>
      </c>
      <c r="QF18" s="1" t="s">
        <v>34</v>
      </c>
      <c r="QG18" s="1">
        <v>25200.645865638449</v>
      </c>
      <c r="QH18" s="1">
        <v>6710748.8614170318</v>
      </c>
      <c r="QI18" s="1">
        <v>3.7552658259241002E-3</v>
      </c>
      <c r="QJ18" s="1"/>
      <c r="QK18" s="22">
        <v>12061</v>
      </c>
      <c r="QL18" s="1" t="s">
        <v>31</v>
      </c>
      <c r="QM18" s="1">
        <v>2021</v>
      </c>
      <c r="QN18" s="1" t="s">
        <v>34</v>
      </c>
      <c r="QO18" s="1">
        <v>49033.175973442223</v>
      </c>
      <c r="QP18" s="1">
        <v>10216133.49495957</v>
      </c>
      <c r="QQ18" s="1">
        <v>4.7995825424202001E-3</v>
      </c>
      <c r="QR18" s="1"/>
      <c r="QS18" s="22">
        <v>12981</v>
      </c>
      <c r="QT18" s="1" t="s">
        <v>51</v>
      </c>
      <c r="QU18" s="1">
        <v>2021</v>
      </c>
      <c r="QV18" s="1" t="s">
        <v>34</v>
      </c>
      <c r="QW18" s="1">
        <v>36415.86631104871</v>
      </c>
      <c r="QX18" s="1">
        <v>4972017.0252605537</v>
      </c>
      <c r="QY18" s="1">
        <v>7.3241636394317002E-3</v>
      </c>
      <c r="QZ18" s="1"/>
      <c r="RA18" s="22">
        <v>13901</v>
      </c>
      <c r="RB18" s="1" t="s">
        <v>57</v>
      </c>
      <c r="RC18" s="1">
        <v>2021</v>
      </c>
      <c r="RD18" s="1" t="s">
        <v>34</v>
      </c>
      <c r="RE18" s="1">
        <v>109234.077906518</v>
      </c>
      <c r="RF18" s="1">
        <v>11049533.09007922</v>
      </c>
      <c r="RG18" s="1">
        <v>9.8858546344002002E-3</v>
      </c>
      <c r="RH18" s="1"/>
      <c r="RI18" s="22">
        <v>8427</v>
      </c>
      <c r="RJ18" s="1" t="s">
        <v>17</v>
      </c>
      <c r="RK18" s="1">
        <v>2022</v>
      </c>
      <c r="RL18" s="1" t="s">
        <v>34</v>
      </c>
      <c r="RM18" s="1">
        <v>44766.954183779373</v>
      </c>
      <c r="RN18" s="1">
        <v>5007102.3902221443</v>
      </c>
      <c r="RO18" s="1">
        <v>8.9406907817983008E-3</v>
      </c>
      <c r="RP18" s="1"/>
      <c r="RQ18" s="22">
        <v>9347</v>
      </c>
      <c r="RR18" s="1" t="s">
        <v>61</v>
      </c>
      <c r="RS18" s="1">
        <v>2022</v>
      </c>
      <c r="RT18" s="1" t="s">
        <v>34</v>
      </c>
      <c r="RU18" s="1">
        <v>399099.30718269158</v>
      </c>
      <c r="RV18" s="1">
        <v>57754399.13688051</v>
      </c>
      <c r="RW18" s="1">
        <v>6.9102841194279997E-3</v>
      </c>
      <c r="RX18" s="1"/>
      <c r="RY18" s="22">
        <v>10267</v>
      </c>
      <c r="RZ18" s="1" t="s">
        <v>44</v>
      </c>
      <c r="SA18" s="1">
        <v>2022</v>
      </c>
      <c r="SB18" s="1" t="s">
        <v>34</v>
      </c>
      <c r="SC18" s="1">
        <v>30676.200443491351</v>
      </c>
      <c r="SD18" s="1">
        <v>6876787.7563667288</v>
      </c>
      <c r="SE18" s="1">
        <v>4.4608328089070998E-3</v>
      </c>
      <c r="SF18" s="1"/>
      <c r="SG18" s="22">
        <v>11187</v>
      </c>
      <c r="SH18" s="1" t="s">
        <v>38</v>
      </c>
      <c r="SI18" s="1">
        <v>2022</v>
      </c>
      <c r="SJ18" s="1" t="s">
        <v>34</v>
      </c>
      <c r="SK18" s="1">
        <v>23755.344314237918</v>
      </c>
      <c r="SL18" s="1">
        <v>6325875.5612572851</v>
      </c>
      <c r="SM18" s="1">
        <v>3.7552658259241002E-3</v>
      </c>
      <c r="SN18" s="1"/>
      <c r="SO18" s="22">
        <v>12107</v>
      </c>
      <c r="SP18" s="1" t="s">
        <v>31</v>
      </c>
      <c r="SQ18" s="1">
        <v>2022</v>
      </c>
      <c r="SR18" s="1" t="s">
        <v>34</v>
      </c>
      <c r="SS18" s="1">
        <v>46950.424644809238</v>
      </c>
      <c r="ST18" s="1">
        <v>9782189.227885304</v>
      </c>
      <c r="SU18" s="1">
        <v>4.7995825424202001E-3</v>
      </c>
      <c r="SV18" s="1"/>
      <c r="SW18" s="22">
        <v>13027</v>
      </c>
      <c r="SX18" s="1" t="s">
        <v>51</v>
      </c>
      <c r="SY18" s="1">
        <v>2022</v>
      </c>
      <c r="SZ18" s="1" t="s">
        <v>34</v>
      </c>
      <c r="TA18" s="1">
        <v>35160.23321712375</v>
      </c>
      <c r="TB18" s="1">
        <v>4800579.963537232</v>
      </c>
      <c r="TC18" s="1">
        <v>7.3241636394317002E-3</v>
      </c>
      <c r="TD18" s="1"/>
      <c r="TE18" s="22">
        <v>13947</v>
      </c>
      <c r="TF18" s="1" t="s">
        <v>57</v>
      </c>
      <c r="TG18" s="1">
        <v>2022</v>
      </c>
      <c r="TH18" s="1" t="s">
        <v>34</v>
      </c>
      <c r="TI18" s="1">
        <v>92397.703524089724</v>
      </c>
      <c r="TJ18" s="1">
        <v>9346455.8140041605</v>
      </c>
      <c r="TK18" s="1">
        <v>9.8858546344002002E-3</v>
      </c>
      <c r="TL18" s="1"/>
      <c r="TM18" s="22">
        <v>8473</v>
      </c>
      <c r="TN18" s="1" t="s">
        <v>17</v>
      </c>
      <c r="TO18" s="1">
        <v>2023</v>
      </c>
      <c r="TP18" s="1" t="s">
        <v>34</v>
      </c>
      <c r="TQ18" s="1">
        <v>44418.082553391847</v>
      </c>
      <c r="TR18" s="1">
        <v>4968081.7329930915</v>
      </c>
      <c r="TS18" s="1">
        <v>8.9406907817983008E-3</v>
      </c>
      <c r="TT18" s="1"/>
      <c r="TU18" s="22">
        <v>9393</v>
      </c>
      <c r="TV18" s="1" t="s">
        <v>61</v>
      </c>
      <c r="TW18" s="1">
        <v>2023</v>
      </c>
      <c r="TX18" s="1" t="s">
        <v>34</v>
      </c>
      <c r="TY18" s="1">
        <v>425399.1119517989</v>
      </c>
      <c r="TZ18" s="1">
        <v>61560292.543660469</v>
      </c>
      <c r="UA18" s="1">
        <v>6.9102841194279997E-3</v>
      </c>
      <c r="UB18" s="1"/>
      <c r="UC18" s="22">
        <v>10313</v>
      </c>
      <c r="UD18" s="1" t="s">
        <v>44</v>
      </c>
      <c r="UE18" s="1">
        <v>2023</v>
      </c>
      <c r="UF18" s="1" t="s">
        <v>34</v>
      </c>
      <c r="UG18" s="1">
        <v>33196.266209330563</v>
      </c>
      <c r="UH18" s="1">
        <v>7441719.4347760417</v>
      </c>
      <c r="UI18" s="1">
        <v>4.4608328089070998E-3</v>
      </c>
      <c r="UJ18" s="1"/>
      <c r="UK18" s="22">
        <v>11233</v>
      </c>
      <c r="UL18" s="1" t="s">
        <v>38</v>
      </c>
      <c r="UM18" s="1">
        <v>2023</v>
      </c>
      <c r="UN18" s="1" t="s">
        <v>34</v>
      </c>
      <c r="UO18" s="1">
        <v>25926.142559282162</v>
      </c>
      <c r="UP18" s="1">
        <v>6903943.3587640161</v>
      </c>
      <c r="UQ18" s="1">
        <v>3.7552658259241002E-3</v>
      </c>
      <c r="UR18" s="1"/>
      <c r="US18" s="22">
        <v>12153</v>
      </c>
      <c r="UT18" s="1" t="s">
        <v>31</v>
      </c>
      <c r="UU18" s="1">
        <v>2023</v>
      </c>
      <c r="UV18" s="1" t="s">
        <v>34</v>
      </c>
      <c r="UW18" s="1">
        <v>51033.609572248337</v>
      </c>
      <c r="UX18" s="1">
        <v>10632926.743356841</v>
      </c>
      <c r="UY18" s="1">
        <v>4.7995825424202001E-3</v>
      </c>
      <c r="UZ18" s="1"/>
      <c r="VA18" s="22">
        <v>13073</v>
      </c>
      <c r="VB18" s="1" t="s">
        <v>51</v>
      </c>
      <c r="VC18" s="1">
        <v>2023</v>
      </c>
      <c r="VD18" s="1" t="s">
        <v>34</v>
      </c>
      <c r="VE18" s="1">
        <v>38511.37323117366</v>
      </c>
      <c r="VF18" s="1">
        <v>5258125.7228930313</v>
      </c>
      <c r="VG18" s="1">
        <v>7.3241636394317002E-3</v>
      </c>
      <c r="VH18" s="1"/>
      <c r="VI18" s="22">
        <v>13993</v>
      </c>
      <c r="VJ18" s="1" t="s">
        <v>57</v>
      </c>
      <c r="VK18" s="1">
        <v>2023</v>
      </c>
      <c r="VL18" s="1" t="s">
        <v>34</v>
      </c>
      <c r="VM18" s="1">
        <v>91329.240053065354</v>
      </c>
      <c r="VN18" s="1">
        <v>9238375.7834414635</v>
      </c>
      <c r="VO18" s="1">
        <v>9.8858546344002002E-3</v>
      </c>
      <c r="VP18" s="1"/>
      <c r="VQ18" s="22">
        <v>8519</v>
      </c>
      <c r="VR18" s="1" t="s">
        <v>17</v>
      </c>
      <c r="VS18" s="1">
        <v>2024</v>
      </c>
      <c r="VT18" s="1" t="s">
        <v>34</v>
      </c>
      <c r="VU18" s="1">
        <v>45806.007123961041</v>
      </c>
      <c r="VV18" s="1">
        <v>5123318.5714479852</v>
      </c>
      <c r="VW18" s="1">
        <v>8.9406907817983008E-3</v>
      </c>
      <c r="VX18" s="1"/>
      <c r="VY18" s="22">
        <v>9439</v>
      </c>
      <c r="VZ18" s="1" t="s">
        <v>61</v>
      </c>
      <c r="WA18" s="1">
        <v>2024</v>
      </c>
      <c r="WB18" s="1" t="s">
        <v>34</v>
      </c>
      <c r="WC18" s="1">
        <v>447868.5798844205</v>
      </c>
      <c r="WD18" s="1">
        <v>64811890.820126347</v>
      </c>
      <c r="WE18" s="1">
        <v>6.9102841194279997E-3</v>
      </c>
      <c r="WF18" s="1"/>
      <c r="WG18" s="22">
        <v>10359</v>
      </c>
      <c r="WH18" s="1" t="s">
        <v>44</v>
      </c>
      <c r="WI18" s="1">
        <v>2024</v>
      </c>
      <c r="WJ18" s="1" t="s">
        <v>34</v>
      </c>
      <c r="WK18" s="1">
        <v>35895.126415205683</v>
      </c>
      <c r="WL18" s="1">
        <v>8046732.0684004631</v>
      </c>
      <c r="WM18" s="1">
        <v>4.4608328089070998E-3</v>
      </c>
      <c r="WN18" s="1"/>
      <c r="WO18" s="22">
        <v>11279</v>
      </c>
      <c r="WP18" s="1" t="s">
        <v>38</v>
      </c>
      <c r="WQ18" s="1">
        <v>2024</v>
      </c>
      <c r="WR18" s="1" t="s">
        <v>34</v>
      </c>
      <c r="WS18" s="1">
        <v>26862.746897387769</v>
      </c>
      <c r="WT18" s="1">
        <v>7153354.2877160665</v>
      </c>
      <c r="WU18" s="1">
        <v>3.7552658259241002E-3</v>
      </c>
      <c r="WV18" s="1"/>
      <c r="WW18" s="22">
        <v>12199</v>
      </c>
      <c r="WX18" s="1" t="s">
        <v>31</v>
      </c>
      <c r="WY18" s="1">
        <v>2024</v>
      </c>
      <c r="WZ18" s="1" t="s">
        <v>34</v>
      </c>
      <c r="XA18" s="1">
        <v>52547.240924941383</v>
      </c>
      <c r="XB18" s="1">
        <v>10948294.03609846</v>
      </c>
      <c r="XC18" s="1">
        <v>4.7995825424202001E-3</v>
      </c>
      <c r="XD18" s="1"/>
      <c r="XE18" s="22">
        <v>13119</v>
      </c>
      <c r="XF18" s="1" t="s">
        <v>51</v>
      </c>
      <c r="XG18" s="1">
        <v>2024</v>
      </c>
      <c r="XH18" s="1" t="s">
        <v>34</v>
      </c>
      <c r="XI18" s="1">
        <v>39650.366466227228</v>
      </c>
      <c r="XJ18" s="1">
        <v>5413637.436055948</v>
      </c>
      <c r="XK18" s="1">
        <v>7.3241636394317002E-3</v>
      </c>
      <c r="XL18" s="1"/>
      <c r="XM18" s="22">
        <v>14039</v>
      </c>
      <c r="XN18" s="1" t="s">
        <v>57</v>
      </c>
      <c r="XO18" s="1">
        <v>2024</v>
      </c>
      <c r="XP18" s="1" t="s">
        <v>34</v>
      </c>
      <c r="XQ18" s="1">
        <v>87276.492425905526</v>
      </c>
      <c r="XR18" s="1">
        <v>8828421.583522588</v>
      </c>
      <c r="XS18" s="1">
        <v>9.8858546344002002E-3</v>
      </c>
      <c r="XT18" s="1"/>
    </row>
    <row r="19" spans="1:644" x14ac:dyDescent="0.25">
      <c r="A19" s="2">
        <v>10</v>
      </c>
      <c r="B19" s="1" t="s">
        <v>17</v>
      </c>
      <c r="C19" s="1" t="s">
        <v>35</v>
      </c>
      <c r="D19" s="1">
        <v>9.8599007351764922E-3</v>
      </c>
      <c r="E19" s="1">
        <v>9.8705989631107556E-3</v>
      </c>
      <c r="F19" s="1">
        <v>9.70882140043027E-3</v>
      </c>
      <c r="G19" s="1">
        <v>9.5864611878989786E-3</v>
      </c>
      <c r="H19" s="1">
        <v>9.7840629395465669E-3</v>
      </c>
      <c r="I19" s="1">
        <v>9.0506021245267132E-3</v>
      </c>
      <c r="J19" s="1">
        <v>8.1849213751716329E-3</v>
      </c>
      <c r="K19" s="1">
        <v>8.1849213751716172E-3</v>
      </c>
      <c r="L19" s="1">
        <v>8.1849213751716172E-3</v>
      </c>
      <c r="M19" s="1">
        <v>8.1849213751716172E-3</v>
      </c>
      <c r="N19" s="1">
        <v>8.1849213751716172E-3</v>
      </c>
      <c r="O19" s="1">
        <v>8.9804594751407146E-3</v>
      </c>
      <c r="P19" s="1"/>
      <c r="Q19" s="2">
        <v>81</v>
      </c>
      <c r="R19" s="1" t="s">
        <v>31</v>
      </c>
      <c r="S19" s="1" t="s">
        <v>27</v>
      </c>
      <c r="T19" s="1">
        <v>1.9569617303897061E-2</v>
      </c>
      <c r="U19" s="1"/>
      <c r="AC19" s="22">
        <v>884</v>
      </c>
      <c r="AD19" s="1" t="s">
        <v>17</v>
      </c>
      <c r="AE19" s="1">
        <v>2014</v>
      </c>
      <c r="AF19" s="1" t="s">
        <v>35</v>
      </c>
      <c r="AG19" s="1">
        <v>40309.4</v>
      </c>
      <c r="AH19" s="1">
        <v>4088215.6</v>
      </c>
      <c r="AI19" s="1">
        <v>9.8599007351764002E-3</v>
      </c>
      <c r="AJ19" s="1"/>
      <c r="AK19" s="22">
        <v>2080</v>
      </c>
      <c r="AL19" s="1" t="s">
        <v>61</v>
      </c>
      <c r="AM19" s="1">
        <v>2014</v>
      </c>
      <c r="AN19" s="1" t="s">
        <v>35</v>
      </c>
      <c r="AO19" s="1">
        <v>577043</v>
      </c>
      <c r="AP19" s="1">
        <v>40350049.200000003</v>
      </c>
      <c r="AQ19" s="1">
        <v>1.43009243220451E-2</v>
      </c>
      <c r="AR19" s="1"/>
      <c r="AS19" s="22">
        <v>3276</v>
      </c>
      <c r="AT19" s="1" t="s">
        <v>44</v>
      </c>
      <c r="AU19" s="1">
        <v>2014</v>
      </c>
      <c r="AV19" s="1" t="s">
        <v>35</v>
      </c>
      <c r="AW19" s="1">
        <v>52844.2</v>
      </c>
      <c r="AX19" s="1">
        <v>6735816.8000000007</v>
      </c>
      <c r="AY19" s="1">
        <v>7.8452549362684008E-3</v>
      </c>
      <c r="AZ19" s="1"/>
      <c r="BA19" s="22">
        <v>4472</v>
      </c>
      <c r="BB19" s="1" t="s">
        <v>38</v>
      </c>
      <c r="BC19" s="1">
        <v>2014</v>
      </c>
      <c r="BD19" s="1" t="s">
        <v>35</v>
      </c>
      <c r="BE19" s="1">
        <v>87462.3</v>
      </c>
      <c r="BF19" s="1">
        <v>6538596.7000000002</v>
      </c>
      <c r="BG19" s="1">
        <v>1.3376310546879201E-2</v>
      </c>
      <c r="BH19" s="1"/>
      <c r="BI19" s="22">
        <v>5668</v>
      </c>
      <c r="BJ19" s="1" t="s">
        <v>31</v>
      </c>
      <c r="BK19" s="1">
        <v>2014</v>
      </c>
      <c r="BL19" s="1" t="s">
        <v>35</v>
      </c>
      <c r="BM19" s="1">
        <v>180641.8</v>
      </c>
      <c r="BN19" s="1">
        <v>9155477.5</v>
      </c>
      <c r="BO19" s="1">
        <v>1.9730461901085902E-2</v>
      </c>
      <c r="BP19" s="1"/>
      <c r="BQ19" s="22">
        <v>6864</v>
      </c>
      <c r="BR19" s="1" t="s">
        <v>51</v>
      </c>
      <c r="BS19" s="1">
        <v>2014</v>
      </c>
      <c r="BT19" s="1" t="s">
        <v>35</v>
      </c>
      <c r="BU19" s="1">
        <v>66617.100000000006</v>
      </c>
      <c r="BV19" s="1">
        <v>4981875.5</v>
      </c>
      <c r="BW19" s="1">
        <v>1.3371891770478799E-2</v>
      </c>
      <c r="BX19" s="1"/>
      <c r="BY19" s="22">
        <v>8060</v>
      </c>
      <c r="BZ19" s="1" t="s">
        <v>57</v>
      </c>
      <c r="CA19" s="1">
        <v>2014</v>
      </c>
      <c r="CB19" s="1" t="s">
        <v>35</v>
      </c>
      <c r="CC19" s="1">
        <v>201529.5</v>
      </c>
      <c r="CD19" s="1">
        <v>11026913.800000001</v>
      </c>
      <c r="CE19" s="1">
        <v>1.8276147220811601E-2</v>
      </c>
      <c r="CF19" s="1"/>
      <c r="CG19" s="22">
        <v>930</v>
      </c>
      <c r="CH19" s="1" t="s">
        <v>17</v>
      </c>
      <c r="CI19" s="1">
        <v>2015</v>
      </c>
      <c r="CJ19" s="1" t="s">
        <v>35</v>
      </c>
      <c r="CK19" s="1">
        <v>35091.300000000003</v>
      </c>
      <c r="CL19" s="1">
        <v>3555133.8</v>
      </c>
      <c r="CM19" s="1">
        <v>9.8705989631107001E-3</v>
      </c>
      <c r="CN19" s="1"/>
      <c r="CO19" s="22">
        <v>2126</v>
      </c>
      <c r="CP19" s="1" t="s">
        <v>61</v>
      </c>
      <c r="CQ19" s="1">
        <v>2015</v>
      </c>
      <c r="CR19" s="1" t="s">
        <v>35</v>
      </c>
      <c r="CS19" s="1">
        <v>514666</v>
      </c>
      <c r="CT19" s="1">
        <v>41208556.399999999</v>
      </c>
      <c r="CU19" s="1">
        <v>1.2489299431027801E-2</v>
      </c>
      <c r="CV19" s="1"/>
      <c r="CW19" s="22">
        <v>3322</v>
      </c>
      <c r="CX19" s="1" t="s">
        <v>44</v>
      </c>
      <c r="CY19" s="1">
        <v>2015</v>
      </c>
      <c r="CZ19" s="1" t="s">
        <v>35</v>
      </c>
      <c r="DA19" s="1">
        <v>49806.400000000001</v>
      </c>
      <c r="DB19" s="1">
        <v>6404349.4000000004</v>
      </c>
      <c r="DC19" s="1">
        <v>7.7769648233120998E-3</v>
      </c>
      <c r="DD19" s="1"/>
      <c r="DE19" s="22">
        <v>4518</v>
      </c>
      <c r="DF19" s="1" t="s">
        <v>38</v>
      </c>
      <c r="DG19" s="1">
        <v>2015</v>
      </c>
      <c r="DH19" s="1" t="s">
        <v>35</v>
      </c>
      <c r="DI19" s="1">
        <v>71911</v>
      </c>
      <c r="DJ19" s="1">
        <v>5531517.5999999996</v>
      </c>
      <c r="DK19" s="1">
        <v>1.30002298103507E-2</v>
      </c>
      <c r="DL19" s="1"/>
      <c r="DM19" s="22">
        <v>5714</v>
      </c>
      <c r="DN19" s="1" t="s">
        <v>31</v>
      </c>
      <c r="DO19" s="1">
        <v>2015</v>
      </c>
      <c r="DP19" s="1" t="s">
        <v>35</v>
      </c>
      <c r="DQ19" s="1">
        <v>152727.20000000001</v>
      </c>
      <c r="DR19" s="1">
        <v>7894528</v>
      </c>
      <c r="DS19" s="1">
        <v>1.9345957098385099E-2</v>
      </c>
      <c r="DT19" s="1"/>
      <c r="DU19" s="22">
        <v>6910</v>
      </c>
      <c r="DV19" s="1" t="s">
        <v>51</v>
      </c>
      <c r="DW19" s="1">
        <v>2015</v>
      </c>
      <c r="DX19" s="1" t="s">
        <v>35</v>
      </c>
      <c r="DY19" s="1">
        <v>55905.9</v>
      </c>
      <c r="DZ19" s="1">
        <v>4209274.5999999996</v>
      </c>
      <c r="EA19" s="1">
        <v>1.3281599637144099E-2</v>
      </c>
      <c r="EB19" s="1"/>
      <c r="EC19" s="22">
        <v>8106</v>
      </c>
      <c r="ED19" s="1" t="s">
        <v>57</v>
      </c>
      <c r="EE19" s="1">
        <v>2015</v>
      </c>
      <c r="EF19" s="1" t="s">
        <v>35</v>
      </c>
      <c r="EG19" s="1">
        <v>169413.1</v>
      </c>
      <c r="EH19" s="1">
        <v>9729477.0999999996</v>
      </c>
      <c r="EI19" s="1">
        <v>1.7412354051380599E-2</v>
      </c>
      <c r="EJ19" s="1"/>
      <c r="EK19" s="22">
        <v>976</v>
      </c>
      <c r="EL19" s="1" t="s">
        <v>17</v>
      </c>
      <c r="EM19" s="1">
        <v>2016</v>
      </c>
      <c r="EN19" s="1" t="s">
        <v>35</v>
      </c>
      <c r="EO19" s="1">
        <v>33625.599999999999</v>
      </c>
      <c r="EP19" s="1">
        <v>3463407</v>
      </c>
      <c r="EQ19" s="1">
        <v>9.7088214004302006E-3</v>
      </c>
      <c r="ER19" s="1"/>
      <c r="ES19" s="22">
        <v>2172</v>
      </c>
      <c r="ET19" s="1" t="s">
        <v>61</v>
      </c>
      <c r="EU19" s="1">
        <v>2016</v>
      </c>
      <c r="EV19" s="1" t="s">
        <v>35</v>
      </c>
      <c r="EW19" s="1">
        <v>501629.6</v>
      </c>
      <c r="EX19" s="1">
        <v>42141395.200000003</v>
      </c>
      <c r="EY19" s="1">
        <v>1.190348818826E-2</v>
      </c>
      <c r="EZ19" s="1"/>
      <c r="FA19" s="22">
        <v>3368</v>
      </c>
      <c r="FB19" s="1" t="s">
        <v>44</v>
      </c>
      <c r="FC19" s="1">
        <v>2016</v>
      </c>
      <c r="FD19" s="1" t="s">
        <v>35</v>
      </c>
      <c r="FE19" s="1">
        <v>42938.9</v>
      </c>
      <c r="FF19" s="1">
        <v>5868597.7999999998</v>
      </c>
      <c r="FG19" s="1">
        <v>7.3167222330348999E-3</v>
      </c>
      <c r="FH19" s="1"/>
      <c r="FI19" s="22">
        <v>4564</v>
      </c>
      <c r="FJ19" s="1" t="s">
        <v>38</v>
      </c>
      <c r="FK19" s="1">
        <v>2016</v>
      </c>
      <c r="FL19" s="1" t="s">
        <v>35</v>
      </c>
      <c r="FM19" s="1">
        <v>68937.2</v>
      </c>
      <c r="FN19" s="1">
        <v>5582986.5</v>
      </c>
      <c r="FO19" s="1">
        <v>1.23477282275355E-2</v>
      </c>
      <c r="FP19" s="1"/>
      <c r="FQ19" s="22">
        <v>5760</v>
      </c>
      <c r="FR19" s="1" t="s">
        <v>31</v>
      </c>
      <c r="FS19" s="1">
        <v>2016</v>
      </c>
      <c r="FT19" s="1" t="s">
        <v>35</v>
      </c>
      <c r="FU19" s="1">
        <v>147249.79999999999</v>
      </c>
      <c r="FV19" s="1">
        <v>8130820.9000000004</v>
      </c>
      <c r="FW19" s="1">
        <v>1.81100779135351E-2</v>
      </c>
      <c r="FX19" s="1"/>
      <c r="FY19" s="22">
        <v>6956</v>
      </c>
      <c r="FZ19" s="1" t="s">
        <v>51</v>
      </c>
      <c r="GA19" s="1">
        <v>2016</v>
      </c>
      <c r="GB19" s="1" t="s">
        <v>35</v>
      </c>
      <c r="GC19" s="1">
        <v>55304.9</v>
      </c>
      <c r="GD19" s="1">
        <v>4230502.5999999996</v>
      </c>
      <c r="GE19" s="1">
        <v>1.30728911500964E-2</v>
      </c>
      <c r="GF19" s="1"/>
      <c r="GG19" s="22">
        <v>8152</v>
      </c>
      <c r="GH19" s="1" t="s">
        <v>57</v>
      </c>
      <c r="GI19" s="1">
        <v>2016</v>
      </c>
      <c r="GJ19" s="1" t="s">
        <v>35</v>
      </c>
      <c r="GK19" s="1">
        <v>174700</v>
      </c>
      <c r="GL19" s="1">
        <v>10773649.5</v>
      </c>
      <c r="GM19" s="1">
        <v>1.6215489468076699E-2</v>
      </c>
      <c r="GN19" s="1"/>
      <c r="GO19" s="22">
        <v>1022</v>
      </c>
      <c r="GP19" s="1" t="s">
        <v>17</v>
      </c>
      <c r="GQ19" s="1">
        <v>2017</v>
      </c>
      <c r="GR19" s="1" t="s">
        <v>35</v>
      </c>
      <c r="GS19" s="1">
        <v>35659.1</v>
      </c>
      <c r="GT19" s="1">
        <v>3719735.5</v>
      </c>
      <c r="GU19" s="1">
        <v>9.5864611878989005E-3</v>
      </c>
      <c r="GV19" s="1"/>
      <c r="GW19" s="22">
        <v>2218</v>
      </c>
      <c r="GX19" s="1" t="s">
        <v>61</v>
      </c>
      <c r="GY19" s="1">
        <v>2017</v>
      </c>
      <c r="GZ19" s="1" t="s">
        <v>35</v>
      </c>
      <c r="HA19" s="1">
        <v>521192.4</v>
      </c>
      <c r="HB19" s="1">
        <v>44107004.100000001</v>
      </c>
      <c r="HC19" s="1">
        <v>1.1816545028049101E-2</v>
      </c>
      <c r="HD19" s="1"/>
      <c r="HE19" s="22">
        <v>3414</v>
      </c>
      <c r="HF19" s="1" t="s">
        <v>44</v>
      </c>
      <c r="HG19" s="1">
        <v>2017</v>
      </c>
      <c r="HH19" s="1" t="s">
        <v>35</v>
      </c>
      <c r="HI19" s="1">
        <v>43750.3</v>
      </c>
      <c r="HJ19" s="1">
        <v>5855367.5</v>
      </c>
      <c r="HK19" s="1">
        <v>7.4718281986570004E-3</v>
      </c>
      <c r="HL19" s="1"/>
      <c r="HM19" s="22">
        <v>4610</v>
      </c>
      <c r="HN19" s="1" t="s">
        <v>38</v>
      </c>
      <c r="HO19" s="1">
        <v>2017</v>
      </c>
      <c r="HP19" s="1" t="s">
        <v>35</v>
      </c>
      <c r="HQ19" s="1">
        <v>73788.3</v>
      </c>
      <c r="HR19" s="1">
        <v>5923445.7000000002</v>
      </c>
      <c r="HS19" s="1">
        <v>1.24569893499656E-2</v>
      </c>
      <c r="HT19" s="1"/>
      <c r="HU19" s="22">
        <v>5806</v>
      </c>
      <c r="HV19" s="1" t="s">
        <v>31</v>
      </c>
      <c r="HW19" s="1">
        <v>2017</v>
      </c>
      <c r="HX19" s="1" t="s">
        <v>35</v>
      </c>
      <c r="HY19" s="1">
        <v>169508.2</v>
      </c>
      <c r="HZ19" s="1">
        <v>8686095.3000000007</v>
      </c>
      <c r="IA19" s="1">
        <v>1.9514890655183099E-2</v>
      </c>
      <c r="IB19" s="1"/>
      <c r="IC19" s="22">
        <v>7002</v>
      </c>
      <c r="ID19" s="1" t="s">
        <v>51</v>
      </c>
      <c r="IE19" s="1">
        <v>2017</v>
      </c>
      <c r="IF19" s="1" t="s">
        <v>35</v>
      </c>
      <c r="IG19" s="1">
        <v>59487.5</v>
      </c>
      <c r="IH19" s="1">
        <v>4472691.8</v>
      </c>
      <c r="II19" s="1">
        <v>1.3300156295142E-2</v>
      </c>
      <c r="IJ19" s="1"/>
      <c r="IK19" s="22">
        <v>8198</v>
      </c>
      <c r="IL19" s="1" t="s">
        <v>57</v>
      </c>
      <c r="IM19" s="1">
        <v>2017</v>
      </c>
      <c r="IN19" s="1" t="s">
        <v>35</v>
      </c>
      <c r="IO19" s="1">
        <v>182531.4</v>
      </c>
      <c r="IP19" s="1">
        <v>10750260.5</v>
      </c>
      <c r="IQ19" s="1">
        <v>1.69792536655274E-2</v>
      </c>
      <c r="IR19" s="1"/>
      <c r="IS19" s="22">
        <v>1068</v>
      </c>
      <c r="IT19" s="1" t="s">
        <v>17</v>
      </c>
      <c r="IU19" s="1">
        <v>2018</v>
      </c>
      <c r="IV19" s="1" t="s">
        <v>35</v>
      </c>
      <c r="IW19" s="1">
        <v>38198.6</v>
      </c>
      <c r="IX19" s="1">
        <v>3904165.4</v>
      </c>
      <c r="IY19" s="1">
        <v>9.7840629395464992E-3</v>
      </c>
      <c r="IZ19" s="1"/>
      <c r="JA19" s="22">
        <v>2264</v>
      </c>
      <c r="JB19" s="1" t="s">
        <v>61</v>
      </c>
      <c r="JC19" s="1">
        <v>2018</v>
      </c>
      <c r="JD19" s="1" t="s">
        <v>35</v>
      </c>
      <c r="JE19" s="1">
        <v>549748.69999999995</v>
      </c>
      <c r="JF19" s="1">
        <v>46669099.200000003</v>
      </c>
      <c r="JG19" s="1">
        <v>1.17797152596422E-2</v>
      </c>
      <c r="JH19" s="1"/>
      <c r="JI19" s="22">
        <v>3460</v>
      </c>
      <c r="JJ19" s="1" t="s">
        <v>44</v>
      </c>
      <c r="JK19" s="1">
        <v>2018</v>
      </c>
      <c r="JL19" s="1" t="s">
        <v>35</v>
      </c>
      <c r="JM19" s="1">
        <v>48298.1</v>
      </c>
      <c r="JN19" s="1">
        <v>6336724.7000000002</v>
      </c>
      <c r="JO19" s="1">
        <v>7.6219344040620004E-3</v>
      </c>
      <c r="JP19" s="1"/>
      <c r="JQ19" s="22">
        <v>4656</v>
      </c>
      <c r="JR19" s="1" t="s">
        <v>38</v>
      </c>
      <c r="JS19" s="1">
        <v>2018</v>
      </c>
      <c r="JT19" s="1" t="s">
        <v>35</v>
      </c>
      <c r="JU19" s="1">
        <v>77863</v>
      </c>
      <c r="JV19" s="1">
        <v>6390706</v>
      </c>
      <c r="JW19" s="1">
        <v>1.21837868930287E-2</v>
      </c>
      <c r="JX19" s="1"/>
      <c r="JY19" s="22">
        <v>5852</v>
      </c>
      <c r="JZ19" s="1" t="s">
        <v>31</v>
      </c>
      <c r="KA19" s="1">
        <v>2018</v>
      </c>
      <c r="KB19" s="1" t="s">
        <v>35</v>
      </c>
      <c r="KC19" s="1">
        <v>166011.29999999999</v>
      </c>
      <c r="KD19" s="1">
        <v>9443218.3000000007</v>
      </c>
      <c r="KE19" s="1">
        <v>1.7579949411949899E-2</v>
      </c>
      <c r="KF19" s="1"/>
      <c r="KG19" s="22">
        <v>7048</v>
      </c>
      <c r="KH19" s="1" t="s">
        <v>51</v>
      </c>
      <c r="KI19" s="1">
        <v>2018</v>
      </c>
      <c r="KJ19" s="1" t="s">
        <v>35</v>
      </c>
      <c r="KK19" s="1">
        <v>64077.1</v>
      </c>
      <c r="KL19" s="1">
        <v>4803387.8</v>
      </c>
      <c r="KM19" s="1">
        <v>1.3339980586202E-2</v>
      </c>
      <c r="KN19" s="1"/>
      <c r="KO19" s="22">
        <v>8244</v>
      </c>
      <c r="KP19" s="1" t="s">
        <v>57</v>
      </c>
      <c r="KQ19" s="1">
        <v>2018</v>
      </c>
      <c r="KR19" s="1" t="s">
        <v>35</v>
      </c>
      <c r="KS19" s="1">
        <v>195797.6</v>
      </c>
      <c r="KT19" s="1">
        <v>11172914.4</v>
      </c>
      <c r="KU19" s="1">
        <v>1.7524308608325101E-2</v>
      </c>
      <c r="KV19" s="1"/>
      <c r="KW19" s="22">
        <v>1114</v>
      </c>
      <c r="KX19" s="1" t="s">
        <v>17</v>
      </c>
      <c r="KY19" s="1">
        <v>2019</v>
      </c>
      <c r="KZ19" s="1" t="s">
        <v>35</v>
      </c>
      <c r="LA19" s="1">
        <v>35798.1</v>
      </c>
      <c r="LB19" s="1">
        <v>3955328</v>
      </c>
      <c r="LC19" s="1">
        <v>9.0506021245266993E-3</v>
      </c>
      <c r="LD19" s="1"/>
      <c r="LE19" s="22">
        <v>2310</v>
      </c>
      <c r="LF19" s="1" t="s">
        <v>61</v>
      </c>
      <c r="LG19" s="1">
        <v>2019</v>
      </c>
      <c r="LH19" s="1" t="s">
        <v>35</v>
      </c>
      <c r="LI19" s="1">
        <v>515826.7</v>
      </c>
      <c r="LJ19" s="1">
        <v>48356774.5</v>
      </c>
      <c r="LK19" s="1">
        <v>1.06671031170617E-2</v>
      </c>
      <c r="LL19" s="1"/>
      <c r="LM19" s="22">
        <v>3506</v>
      </c>
      <c r="LN19" s="1" t="s">
        <v>44</v>
      </c>
      <c r="LO19" s="1">
        <v>2019</v>
      </c>
      <c r="LP19" s="1" t="s">
        <v>35</v>
      </c>
      <c r="LQ19" s="1">
        <v>45313.9</v>
      </c>
      <c r="LR19" s="1">
        <v>6269787.0999999996</v>
      </c>
      <c r="LS19" s="1">
        <v>7.2273426955756998E-3</v>
      </c>
      <c r="LT19" s="1"/>
      <c r="LU19" s="22">
        <v>4702</v>
      </c>
      <c r="LV19" s="1" t="s">
        <v>38</v>
      </c>
      <c r="LW19" s="1">
        <v>2019</v>
      </c>
      <c r="LX19" s="1" t="s">
        <v>35</v>
      </c>
      <c r="LY19" s="1">
        <v>73109.899999999994</v>
      </c>
      <c r="LZ19" s="1">
        <v>6182094.5</v>
      </c>
      <c r="MA19" s="1">
        <v>1.18260728625225E-2</v>
      </c>
      <c r="MB19" s="1"/>
      <c r="MC19" s="22">
        <v>5898</v>
      </c>
      <c r="MD19" s="1" t="s">
        <v>31</v>
      </c>
      <c r="ME19" s="1">
        <v>2019</v>
      </c>
      <c r="MF19" s="1" t="s">
        <v>35</v>
      </c>
      <c r="MG19" s="1">
        <v>154018.6</v>
      </c>
      <c r="MH19" s="1">
        <v>9237079</v>
      </c>
      <c r="MI19" s="1">
        <v>1.6673950715372199E-2</v>
      </c>
      <c r="MJ19" s="1"/>
      <c r="MK19" s="22">
        <v>7094</v>
      </c>
      <c r="ML19" s="1" t="s">
        <v>51</v>
      </c>
      <c r="MM19" s="1">
        <v>2019</v>
      </c>
      <c r="MN19" s="1" t="s">
        <v>35</v>
      </c>
      <c r="MO19" s="1">
        <v>57337</v>
      </c>
      <c r="MP19" s="1">
        <v>4608662</v>
      </c>
      <c r="MQ19" s="1">
        <v>1.24411380135926E-2</v>
      </c>
      <c r="MR19" s="1"/>
      <c r="MS19" s="22">
        <v>8290</v>
      </c>
      <c r="MT19" s="1" t="s">
        <v>57</v>
      </c>
      <c r="MU19" s="1">
        <v>2019</v>
      </c>
      <c r="MV19" s="1" t="s">
        <v>35</v>
      </c>
      <c r="MW19" s="1">
        <v>190183</v>
      </c>
      <c r="MX19" s="1">
        <v>11338077</v>
      </c>
      <c r="MY19" s="1">
        <v>1.6773832105744201E-2</v>
      </c>
      <c r="MZ19" s="1"/>
      <c r="NA19" s="22">
        <v>1160</v>
      </c>
      <c r="NB19" s="1" t="s">
        <v>17</v>
      </c>
      <c r="NC19" s="1">
        <v>2020</v>
      </c>
      <c r="ND19" s="1" t="s">
        <v>35</v>
      </c>
      <c r="NE19" s="1">
        <v>30977.9</v>
      </c>
      <c r="NF19" s="1">
        <v>3784752.3</v>
      </c>
      <c r="NG19" s="1">
        <v>8.1849213751715999E-3</v>
      </c>
      <c r="NH19" s="1"/>
      <c r="NI19" s="22">
        <v>2356</v>
      </c>
      <c r="NJ19" s="1" t="s">
        <v>61</v>
      </c>
      <c r="NK19" s="1">
        <v>2020</v>
      </c>
      <c r="NL19" s="1" t="s">
        <v>35</v>
      </c>
      <c r="NM19" s="1">
        <v>463142.40000000002</v>
      </c>
      <c r="NN19" s="1">
        <v>47421769.399999999</v>
      </c>
      <c r="NO19" s="1">
        <v>9.7664512703736998E-3</v>
      </c>
      <c r="NP19" s="1"/>
      <c r="NQ19" s="22">
        <v>3552</v>
      </c>
      <c r="NR19" s="1" t="s">
        <v>44</v>
      </c>
      <c r="NS19" s="1">
        <v>2020</v>
      </c>
      <c r="NT19" s="1" t="s">
        <v>35</v>
      </c>
      <c r="NU19" s="1">
        <v>43061.5</v>
      </c>
      <c r="NV19" s="1">
        <v>5955345.3666666672</v>
      </c>
      <c r="NW19" s="1">
        <v>7.2307309398080997E-3</v>
      </c>
      <c r="NX19" s="1"/>
      <c r="NY19" s="22">
        <v>4748</v>
      </c>
      <c r="NZ19" s="1" t="s">
        <v>38</v>
      </c>
      <c r="OA19" s="1">
        <v>2020</v>
      </c>
      <c r="OB19" s="1" t="s">
        <v>35</v>
      </c>
      <c r="OC19" s="1">
        <v>68347.199999999997</v>
      </c>
      <c r="OD19" s="1">
        <v>5990228.4000000004</v>
      </c>
      <c r="OE19" s="1">
        <v>1.14097819709178E-2</v>
      </c>
      <c r="OF19" s="1"/>
      <c r="OG19" s="22">
        <v>5944</v>
      </c>
      <c r="OH19" s="1" t="s">
        <v>31</v>
      </c>
      <c r="OI19" s="1">
        <v>2020</v>
      </c>
      <c r="OJ19" s="1" t="s">
        <v>35</v>
      </c>
      <c r="OK19" s="1">
        <v>155992.1</v>
      </c>
      <c r="OL19" s="1">
        <v>9257180.0999999996</v>
      </c>
      <c r="OM19" s="1">
        <v>1.68509306629996E-2</v>
      </c>
      <c r="ON19" s="1"/>
      <c r="OO19" s="22">
        <v>7140</v>
      </c>
      <c r="OP19" s="1" t="s">
        <v>51</v>
      </c>
      <c r="OQ19" s="1">
        <v>2020</v>
      </c>
      <c r="OR19" s="1" t="s">
        <v>35</v>
      </c>
      <c r="OS19" s="1">
        <v>54847.3</v>
      </c>
      <c r="OT19" s="1">
        <v>4352046.4000000004</v>
      </c>
      <c r="OU19" s="1">
        <v>1.26026459644364E-2</v>
      </c>
      <c r="OV19" s="1"/>
      <c r="OW19" s="22">
        <v>8336</v>
      </c>
      <c r="OX19" s="1" t="s">
        <v>57</v>
      </c>
      <c r="OY19" s="1">
        <v>2020</v>
      </c>
      <c r="OZ19" s="1" t="s">
        <v>35</v>
      </c>
      <c r="PA19" s="1">
        <v>174852.7</v>
      </c>
      <c r="PB19" s="1">
        <v>11082248.733333331</v>
      </c>
      <c r="PC19" s="1">
        <v>1.5777727445701099E-2</v>
      </c>
      <c r="PD19" s="1"/>
      <c r="PE19" s="22">
        <v>8382</v>
      </c>
      <c r="PF19" s="1" t="s">
        <v>17</v>
      </c>
      <c r="PG19" s="1">
        <v>2021</v>
      </c>
      <c r="PH19" s="1" t="s">
        <v>35</v>
      </c>
      <c r="PI19" s="1">
        <v>37838.885172255359</v>
      </c>
      <c r="PJ19" s="1">
        <v>4622999.2247741111</v>
      </c>
      <c r="PK19" s="1">
        <v>8.1849213751715999E-3</v>
      </c>
      <c r="PL19" s="1"/>
      <c r="PM19" s="22">
        <v>9302</v>
      </c>
      <c r="PN19" s="1" t="s">
        <v>61</v>
      </c>
      <c r="PO19" s="1">
        <v>2021</v>
      </c>
      <c r="PP19" s="1" t="s">
        <v>35</v>
      </c>
      <c r="PQ19" s="1">
        <v>513614.14449122042</v>
      </c>
      <c r="PR19" s="1">
        <v>52589638.782026872</v>
      </c>
      <c r="PS19" s="1">
        <v>9.7664512703736998E-3</v>
      </c>
      <c r="PT19" s="1"/>
      <c r="PU19" s="22">
        <v>10222</v>
      </c>
      <c r="PV19" s="1" t="s">
        <v>44</v>
      </c>
      <c r="PW19" s="1">
        <v>2021</v>
      </c>
      <c r="PX19" s="1" t="s">
        <v>35</v>
      </c>
      <c r="PY19" s="1">
        <v>50191.737620420783</v>
      </c>
      <c r="PZ19" s="1">
        <v>6941447.2808129201</v>
      </c>
      <c r="QA19" s="1">
        <v>7.2307309398080997E-3</v>
      </c>
      <c r="QB19" s="1"/>
      <c r="QC19" s="22">
        <v>11142</v>
      </c>
      <c r="QD19" s="1" t="s">
        <v>38</v>
      </c>
      <c r="QE19" s="1">
        <v>2021</v>
      </c>
      <c r="QF19" s="1" t="s">
        <v>35</v>
      </c>
      <c r="QG19" s="1">
        <v>76568.18137035321</v>
      </c>
      <c r="QH19" s="1">
        <v>6710748.8614170318</v>
      </c>
      <c r="QI19" s="1">
        <v>1.14097819709178E-2</v>
      </c>
      <c r="QJ19" s="1"/>
      <c r="QK19" s="22">
        <v>12062</v>
      </c>
      <c r="QL19" s="1" t="s">
        <v>31</v>
      </c>
      <c r="QM19" s="1">
        <v>2021</v>
      </c>
      <c r="QN19" s="1" t="s">
        <v>35</v>
      </c>
      <c r="QO19" s="1">
        <v>172151.35716751151</v>
      </c>
      <c r="QP19" s="1">
        <v>10216133.49495957</v>
      </c>
      <c r="QQ19" s="1">
        <v>1.68509306629996E-2</v>
      </c>
      <c r="QR19" s="1"/>
      <c r="QS19" s="22">
        <v>12982</v>
      </c>
      <c r="QT19" s="1" t="s">
        <v>51</v>
      </c>
      <c r="QU19" s="1">
        <v>2021</v>
      </c>
      <c r="QV19" s="1" t="s">
        <v>35</v>
      </c>
      <c r="QW19" s="1">
        <v>62660.570298508988</v>
      </c>
      <c r="QX19" s="1">
        <v>4972017.0252605537</v>
      </c>
      <c r="QY19" s="1">
        <v>1.26026459644364E-2</v>
      </c>
      <c r="QZ19" s="1"/>
      <c r="RA19" s="22">
        <v>13902</v>
      </c>
      <c r="RB19" s="1" t="s">
        <v>57</v>
      </c>
      <c r="RC19" s="1">
        <v>2021</v>
      </c>
      <c r="RD19" s="1" t="s">
        <v>35</v>
      </c>
      <c r="RE19" s="1">
        <v>174336.52149752539</v>
      </c>
      <c r="RF19" s="1">
        <v>11049533.09007922</v>
      </c>
      <c r="RG19" s="1">
        <v>1.5777727445701099E-2</v>
      </c>
      <c r="RH19" s="1"/>
      <c r="RI19" s="22">
        <v>8428</v>
      </c>
      <c r="RJ19" s="1" t="s">
        <v>17</v>
      </c>
      <c r="RK19" s="1">
        <v>2022</v>
      </c>
      <c r="RL19" s="1" t="s">
        <v>35</v>
      </c>
      <c r="RM19" s="1">
        <v>40982.73938140204</v>
      </c>
      <c r="RN19" s="1">
        <v>5007102.3902221443</v>
      </c>
      <c r="RO19" s="1">
        <v>8.1849213751715999E-3</v>
      </c>
      <c r="RP19" s="1"/>
      <c r="RQ19" s="22">
        <v>9348</v>
      </c>
      <c r="RR19" s="1" t="s">
        <v>61</v>
      </c>
      <c r="RS19" s="1">
        <v>2022</v>
      </c>
      <c r="RT19" s="1" t="s">
        <v>35</v>
      </c>
      <c r="RU19" s="1">
        <v>564055.52482005639</v>
      </c>
      <c r="RV19" s="1">
        <v>57754399.13688051</v>
      </c>
      <c r="RW19" s="1">
        <v>9.7664512703736998E-3</v>
      </c>
      <c r="RX19" s="1"/>
      <c r="RY19" s="22">
        <v>10268</v>
      </c>
      <c r="RZ19" s="1" t="s">
        <v>44</v>
      </c>
      <c r="SA19" s="1">
        <v>2022</v>
      </c>
      <c r="SB19" s="1" t="s">
        <v>35</v>
      </c>
      <c r="SC19" s="1">
        <v>49724.201996454431</v>
      </c>
      <c r="SD19" s="1">
        <v>6876787.7563667288</v>
      </c>
      <c r="SE19" s="1">
        <v>7.2307309398080997E-3</v>
      </c>
      <c r="SF19" s="1"/>
      <c r="SG19" s="22">
        <v>11188</v>
      </c>
      <c r="SH19" s="1" t="s">
        <v>38</v>
      </c>
      <c r="SI19" s="1">
        <v>2022</v>
      </c>
      <c r="SJ19" s="1" t="s">
        <v>35</v>
      </c>
      <c r="SK19" s="1">
        <v>72176.860929102884</v>
      </c>
      <c r="SL19" s="1">
        <v>6325875.5612572851</v>
      </c>
      <c r="SM19" s="1">
        <v>1.14097819709178E-2</v>
      </c>
      <c r="SN19" s="1"/>
      <c r="SO19" s="22">
        <v>12108</v>
      </c>
      <c r="SP19" s="1" t="s">
        <v>31</v>
      </c>
      <c r="SQ19" s="1">
        <v>2022</v>
      </c>
      <c r="SR19" s="1" t="s">
        <v>35</v>
      </c>
      <c r="SS19" s="1">
        <v>164838.99241143689</v>
      </c>
      <c r="ST19" s="1">
        <v>9782189.227885304</v>
      </c>
      <c r="SU19" s="1">
        <v>1.68509306629996E-2</v>
      </c>
      <c r="SV19" s="1"/>
      <c r="SW19" s="22">
        <v>13028</v>
      </c>
      <c r="SX19" s="1" t="s">
        <v>51</v>
      </c>
      <c r="SY19" s="1">
        <v>2022</v>
      </c>
      <c r="SZ19" s="1" t="s">
        <v>35</v>
      </c>
      <c r="TA19" s="1">
        <v>60500.009704426739</v>
      </c>
      <c r="TB19" s="1">
        <v>4800579.963537232</v>
      </c>
      <c r="TC19" s="1">
        <v>1.26026459644364E-2</v>
      </c>
      <c r="TD19" s="1"/>
      <c r="TE19" s="22">
        <v>13948</v>
      </c>
      <c r="TF19" s="1" t="s">
        <v>57</v>
      </c>
      <c r="TG19" s="1">
        <v>2022</v>
      </c>
      <c r="TH19" s="1" t="s">
        <v>35</v>
      </c>
      <c r="TI19" s="1">
        <v>147465.8324166461</v>
      </c>
      <c r="TJ19" s="1">
        <v>9346455.8140041605</v>
      </c>
      <c r="TK19" s="1">
        <v>1.5777727445701099E-2</v>
      </c>
      <c r="TL19" s="1"/>
      <c r="TM19" s="22">
        <v>8474</v>
      </c>
      <c r="TN19" s="1" t="s">
        <v>17</v>
      </c>
      <c r="TO19" s="1">
        <v>2023</v>
      </c>
      <c r="TP19" s="1" t="s">
        <v>35</v>
      </c>
      <c r="TQ19" s="1">
        <v>40663.358369974711</v>
      </c>
      <c r="TR19" s="1">
        <v>4968081.7329930915</v>
      </c>
      <c r="TS19" s="1">
        <v>8.1849213751715999E-3</v>
      </c>
      <c r="TT19" s="1"/>
      <c r="TU19" s="22">
        <v>9394</v>
      </c>
      <c r="TV19" s="1" t="s">
        <v>61</v>
      </c>
      <c r="TW19" s="1">
        <v>2023</v>
      </c>
      <c r="TX19" s="1" t="s">
        <v>35</v>
      </c>
      <c r="TY19" s="1">
        <v>601225.59731760935</v>
      </c>
      <c r="TZ19" s="1">
        <v>61560292.543660469</v>
      </c>
      <c r="UA19" s="1">
        <v>9.7664512703736998E-3</v>
      </c>
      <c r="UB19" s="1"/>
      <c r="UC19" s="22">
        <v>10314</v>
      </c>
      <c r="UD19" s="1" t="s">
        <v>44</v>
      </c>
      <c r="UE19" s="1">
        <v>2023</v>
      </c>
      <c r="UF19" s="1" t="s">
        <v>35</v>
      </c>
      <c r="UG19" s="1">
        <v>53809.070962406367</v>
      </c>
      <c r="UH19" s="1">
        <v>7441719.4347760417</v>
      </c>
      <c r="UI19" s="1">
        <v>7.2307309398080997E-3</v>
      </c>
      <c r="UJ19" s="1"/>
      <c r="UK19" s="22">
        <v>11234</v>
      </c>
      <c r="UL19" s="1" t="s">
        <v>38</v>
      </c>
      <c r="UM19" s="1">
        <v>2023</v>
      </c>
      <c r="UN19" s="1" t="s">
        <v>35</v>
      </c>
      <c r="UO19" s="1">
        <v>78772.488463063346</v>
      </c>
      <c r="UP19" s="1">
        <v>6903943.3587640161</v>
      </c>
      <c r="UQ19" s="1">
        <v>1.14097819709178E-2</v>
      </c>
      <c r="UR19" s="1"/>
      <c r="US19" s="22">
        <v>12154</v>
      </c>
      <c r="UT19" s="1" t="s">
        <v>31</v>
      </c>
      <c r="UU19" s="1">
        <v>2023</v>
      </c>
      <c r="UV19" s="1" t="s">
        <v>35</v>
      </c>
      <c r="UW19" s="1">
        <v>179174.71129706019</v>
      </c>
      <c r="UX19" s="1">
        <v>10632926.743356841</v>
      </c>
      <c r="UY19" s="1">
        <v>1.68509306629996E-2</v>
      </c>
      <c r="UZ19" s="1"/>
      <c r="VA19" s="22">
        <v>13074</v>
      </c>
      <c r="VB19" s="1" t="s">
        <v>51</v>
      </c>
      <c r="VC19" s="1">
        <v>2023</v>
      </c>
      <c r="VD19" s="1" t="s">
        <v>35</v>
      </c>
      <c r="VE19" s="1">
        <v>66266.296922117093</v>
      </c>
      <c r="VF19" s="1">
        <v>5258125.7228930313</v>
      </c>
      <c r="VG19" s="1">
        <v>1.26026459644364E-2</v>
      </c>
      <c r="VH19" s="1"/>
      <c r="VI19" s="22">
        <v>13994</v>
      </c>
      <c r="VJ19" s="1" t="s">
        <v>57</v>
      </c>
      <c r="VK19" s="1">
        <v>2023</v>
      </c>
      <c r="VL19" s="1" t="s">
        <v>35</v>
      </c>
      <c r="VM19" s="1">
        <v>145760.57515210481</v>
      </c>
      <c r="VN19" s="1">
        <v>9238375.7834414635</v>
      </c>
      <c r="VO19" s="1">
        <v>1.5777727445701099E-2</v>
      </c>
      <c r="VP19" s="1"/>
      <c r="VQ19" s="22">
        <v>8520</v>
      </c>
      <c r="VR19" s="1" t="s">
        <v>17</v>
      </c>
      <c r="VS19" s="1">
        <v>2024</v>
      </c>
      <c r="VT19" s="1" t="s">
        <v>35</v>
      </c>
      <c r="VU19" s="1">
        <v>41933.959687258241</v>
      </c>
      <c r="VV19" s="1">
        <v>5123318.5714479852</v>
      </c>
      <c r="VW19" s="1">
        <v>8.1849213751715999E-3</v>
      </c>
      <c r="VX19" s="1"/>
      <c r="VY19" s="22">
        <v>9440</v>
      </c>
      <c r="VZ19" s="1" t="s">
        <v>61</v>
      </c>
      <c r="WA19" s="1">
        <v>2024</v>
      </c>
      <c r="WB19" s="1" t="s">
        <v>35</v>
      </c>
      <c r="WC19" s="1">
        <v>632982.17343554448</v>
      </c>
      <c r="WD19" s="1">
        <v>64811890.820126347</v>
      </c>
      <c r="WE19" s="1">
        <v>9.7664512703736998E-3</v>
      </c>
      <c r="WF19" s="1"/>
      <c r="WG19" s="22">
        <v>10360</v>
      </c>
      <c r="WH19" s="1" t="s">
        <v>44</v>
      </c>
      <c r="WI19" s="1">
        <v>2024</v>
      </c>
      <c r="WJ19" s="1" t="s">
        <v>35</v>
      </c>
      <c r="WK19" s="1">
        <v>58183.754531329258</v>
      </c>
      <c r="WL19" s="1">
        <v>8046732.0684004631</v>
      </c>
      <c r="WM19" s="1">
        <v>7.2307309398080997E-3</v>
      </c>
      <c r="WN19" s="1"/>
      <c r="WO19" s="22">
        <v>11280</v>
      </c>
      <c r="WP19" s="1" t="s">
        <v>38</v>
      </c>
      <c r="WQ19" s="1">
        <v>2024</v>
      </c>
      <c r="WR19" s="1" t="s">
        <v>35</v>
      </c>
      <c r="WS19" s="1">
        <v>81618.2127835703</v>
      </c>
      <c r="WT19" s="1">
        <v>7153354.2877160665</v>
      </c>
      <c r="WU19" s="1">
        <v>1.14097819709178E-2</v>
      </c>
      <c r="WV19" s="1"/>
      <c r="WW19" s="22">
        <v>12200</v>
      </c>
      <c r="WX19" s="1" t="s">
        <v>31</v>
      </c>
      <c r="WY19" s="1">
        <v>2024</v>
      </c>
      <c r="WZ19" s="1" t="s">
        <v>35</v>
      </c>
      <c r="XA19" s="1">
        <v>184488.94368042721</v>
      </c>
      <c r="XB19" s="1">
        <v>10948294.03609846</v>
      </c>
      <c r="XC19" s="1">
        <v>1.68509306629996E-2</v>
      </c>
      <c r="XD19" s="1"/>
      <c r="XE19" s="22">
        <v>13120</v>
      </c>
      <c r="XF19" s="1" t="s">
        <v>51</v>
      </c>
      <c r="XG19" s="1">
        <v>2024</v>
      </c>
      <c r="XH19" s="1" t="s">
        <v>35</v>
      </c>
      <c r="XI19" s="1">
        <v>68226.155986432306</v>
      </c>
      <c r="XJ19" s="1">
        <v>5413637.436055948</v>
      </c>
      <c r="XK19" s="1">
        <v>1.26026459644364E-2</v>
      </c>
      <c r="XL19" s="1"/>
      <c r="XM19" s="22">
        <v>14040</v>
      </c>
      <c r="XN19" s="1" t="s">
        <v>57</v>
      </c>
      <c r="XO19" s="1">
        <v>2024</v>
      </c>
      <c r="XP19" s="1" t="s">
        <v>35</v>
      </c>
      <c r="XQ19" s="1">
        <v>139292.4295205643</v>
      </c>
      <c r="XR19" s="1">
        <v>8828421.583522588</v>
      </c>
      <c r="XS19" s="1">
        <v>1.5777727445701099E-2</v>
      </c>
      <c r="XT19" s="1"/>
    </row>
    <row r="20" spans="1:644" x14ac:dyDescent="0.25">
      <c r="A20" s="2">
        <v>11</v>
      </c>
      <c r="B20" s="1" t="s">
        <v>17</v>
      </c>
      <c r="C20" s="1" t="s">
        <v>36</v>
      </c>
      <c r="D20" s="1">
        <v>2.6937913939763841E-3</v>
      </c>
      <c r="E20" s="1">
        <v>2.893308825676265E-3</v>
      </c>
      <c r="F20" s="1">
        <v>2.891632430147539E-3</v>
      </c>
      <c r="G20" s="1">
        <v>2.6317731462358008E-3</v>
      </c>
      <c r="H20" s="1">
        <v>2.607164132953998E-3</v>
      </c>
      <c r="I20" s="1">
        <v>2.743312311899291E-3</v>
      </c>
      <c r="J20" s="1">
        <v>2.9169412222828949E-3</v>
      </c>
      <c r="K20" s="1">
        <v>2.916941222282806E-3</v>
      </c>
      <c r="L20" s="1">
        <v>2.916941222282806E-3</v>
      </c>
      <c r="M20" s="1">
        <v>2.916941222282806E-3</v>
      </c>
      <c r="N20" s="1">
        <v>2.916941222282806E-3</v>
      </c>
      <c r="O20" s="1">
        <v>2.8223353047548551E-3</v>
      </c>
      <c r="P20" s="1"/>
      <c r="Q20" s="2">
        <v>84</v>
      </c>
      <c r="R20" s="1" t="s">
        <v>31</v>
      </c>
      <c r="S20" s="1" t="s">
        <v>29</v>
      </c>
      <c r="T20" s="1">
        <v>4.6365507829877632E-2</v>
      </c>
      <c r="U20" s="1"/>
      <c r="W20" t="s">
        <v>82</v>
      </c>
      <c r="AC20" s="22">
        <v>885</v>
      </c>
      <c r="AD20" s="1" t="s">
        <v>17</v>
      </c>
      <c r="AE20" s="1">
        <v>2014</v>
      </c>
      <c r="AF20" s="1" t="s">
        <v>36</v>
      </c>
      <c r="AG20" s="1">
        <v>11012.8</v>
      </c>
      <c r="AH20" s="1">
        <v>4088215.6</v>
      </c>
      <c r="AI20" s="1">
        <v>2.6937913939763E-3</v>
      </c>
      <c r="AJ20" s="1"/>
      <c r="AK20" s="22">
        <v>2081</v>
      </c>
      <c r="AL20" s="1" t="s">
        <v>61</v>
      </c>
      <c r="AM20" s="1">
        <v>2014</v>
      </c>
      <c r="AN20" s="1" t="s">
        <v>36</v>
      </c>
      <c r="AO20" s="1">
        <v>248807.3</v>
      </c>
      <c r="AP20" s="1">
        <v>40350049.200000003</v>
      </c>
      <c r="AQ20" s="1">
        <v>6.1662204862936998E-3</v>
      </c>
      <c r="AR20" s="1"/>
      <c r="AS20" s="22">
        <v>3277</v>
      </c>
      <c r="AT20" s="1" t="s">
        <v>44</v>
      </c>
      <c r="AU20" s="1">
        <v>2014</v>
      </c>
      <c r="AV20" s="1" t="s">
        <v>36</v>
      </c>
      <c r="AW20" s="1">
        <v>34212.5</v>
      </c>
      <c r="AX20" s="1">
        <v>6735816.8000000007</v>
      </c>
      <c r="AY20" s="1">
        <v>5.0791909898737003E-3</v>
      </c>
      <c r="AZ20" s="1"/>
      <c r="BA20" s="22">
        <v>4473</v>
      </c>
      <c r="BB20" s="1" t="s">
        <v>38</v>
      </c>
      <c r="BC20" s="1">
        <v>2014</v>
      </c>
      <c r="BD20" s="1" t="s">
        <v>36</v>
      </c>
      <c r="BE20" s="1">
        <v>33500.800000000003</v>
      </c>
      <c r="BF20" s="1">
        <v>6538596.7000000002</v>
      </c>
      <c r="BG20" s="1">
        <v>5.1235458519714996E-3</v>
      </c>
      <c r="BH20" s="1"/>
      <c r="BI20" s="22">
        <v>5669</v>
      </c>
      <c r="BJ20" s="1" t="s">
        <v>31</v>
      </c>
      <c r="BK20" s="1">
        <v>2014</v>
      </c>
      <c r="BL20" s="1" t="s">
        <v>36</v>
      </c>
      <c r="BM20" s="1">
        <v>61875</v>
      </c>
      <c r="BN20" s="1">
        <v>9155477.5</v>
      </c>
      <c r="BO20" s="1">
        <v>6.7582493649293003E-3</v>
      </c>
      <c r="BP20" s="1"/>
      <c r="BQ20" s="22">
        <v>6865</v>
      </c>
      <c r="BR20" s="1" t="s">
        <v>51</v>
      </c>
      <c r="BS20" s="1">
        <v>2014</v>
      </c>
      <c r="BT20" s="1" t="s">
        <v>36</v>
      </c>
      <c r="BU20" s="1">
        <v>32481.8</v>
      </c>
      <c r="BV20" s="1">
        <v>4981875.5</v>
      </c>
      <c r="BW20" s="1">
        <v>6.5199943274375002E-3</v>
      </c>
      <c r="BX20" s="1"/>
      <c r="BY20" s="22">
        <v>8061</v>
      </c>
      <c r="BZ20" s="1" t="s">
        <v>57</v>
      </c>
      <c r="CA20" s="1">
        <v>2014</v>
      </c>
      <c r="CB20" s="1" t="s">
        <v>36</v>
      </c>
      <c r="CC20" s="1">
        <v>74581.600000000006</v>
      </c>
      <c r="CD20" s="1">
        <v>11026913.800000001</v>
      </c>
      <c r="CE20" s="1">
        <v>6.7635969005216999E-3</v>
      </c>
      <c r="CF20" s="1"/>
      <c r="CG20" s="22">
        <v>931</v>
      </c>
      <c r="CH20" s="1" t="s">
        <v>17</v>
      </c>
      <c r="CI20" s="1">
        <v>2015</v>
      </c>
      <c r="CJ20" s="1" t="s">
        <v>36</v>
      </c>
      <c r="CK20" s="1">
        <v>10286.1</v>
      </c>
      <c r="CL20" s="1">
        <v>3555133.8</v>
      </c>
      <c r="CM20" s="1">
        <v>2.8933088256762E-3</v>
      </c>
      <c r="CN20" s="1"/>
      <c r="CO20" s="22">
        <v>2127</v>
      </c>
      <c r="CP20" s="1" t="s">
        <v>61</v>
      </c>
      <c r="CQ20" s="1">
        <v>2015</v>
      </c>
      <c r="CR20" s="1" t="s">
        <v>36</v>
      </c>
      <c r="CS20" s="1">
        <v>265990.09999999998</v>
      </c>
      <c r="CT20" s="1">
        <v>41208556.399999999</v>
      </c>
      <c r="CU20" s="1">
        <v>6.4547298725562002E-3</v>
      </c>
      <c r="CV20" s="1"/>
      <c r="CW20" s="22">
        <v>3323</v>
      </c>
      <c r="CX20" s="1" t="s">
        <v>44</v>
      </c>
      <c r="CY20" s="1">
        <v>2015</v>
      </c>
      <c r="CZ20" s="1" t="s">
        <v>36</v>
      </c>
      <c r="DA20" s="1">
        <v>32374</v>
      </c>
      <c r="DB20" s="1">
        <v>6404349.4000000004</v>
      </c>
      <c r="DC20" s="1">
        <v>5.0550021521310997E-3</v>
      </c>
      <c r="DD20" s="1"/>
      <c r="DE20" s="22">
        <v>4519</v>
      </c>
      <c r="DF20" s="1" t="s">
        <v>38</v>
      </c>
      <c r="DG20" s="1">
        <v>2015</v>
      </c>
      <c r="DH20" s="1" t="s">
        <v>36</v>
      </c>
      <c r="DI20" s="1">
        <v>28856</v>
      </c>
      <c r="DJ20" s="1">
        <v>5531517.5999999996</v>
      </c>
      <c r="DK20" s="1">
        <v>5.2166515749674002E-3</v>
      </c>
      <c r="DL20" s="1"/>
      <c r="DM20" s="22">
        <v>5715</v>
      </c>
      <c r="DN20" s="1" t="s">
        <v>31</v>
      </c>
      <c r="DO20" s="1">
        <v>2015</v>
      </c>
      <c r="DP20" s="1" t="s">
        <v>36</v>
      </c>
      <c r="DQ20" s="1">
        <v>59984.4</v>
      </c>
      <c r="DR20" s="1">
        <v>7894528</v>
      </c>
      <c r="DS20" s="1">
        <v>7.5982249983786001E-3</v>
      </c>
      <c r="DT20" s="1"/>
      <c r="DU20" s="22">
        <v>6911</v>
      </c>
      <c r="DV20" s="1" t="s">
        <v>51</v>
      </c>
      <c r="DW20" s="1">
        <v>2015</v>
      </c>
      <c r="DX20" s="1" t="s">
        <v>36</v>
      </c>
      <c r="DY20" s="1">
        <v>27721.4</v>
      </c>
      <c r="DZ20" s="1">
        <v>4209274.5999999996</v>
      </c>
      <c r="EA20" s="1">
        <v>6.5857903402168003E-3</v>
      </c>
      <c r="EB20" s="1"/>
      <c r="EC20" s="22">
        <v>8107</v>
      </c>
      <c r="ED20" s="1" t="s">
        <v>57</v>
      </c>
      <c r="EE20" s="1">
        <v>2015</v>
      </c>
      <c r="EF20" s="1" t="s">
        <v>36</v>
      </c>
      <c r="EG20" s="1">
        <v>69914.8</v>
      </c>
      <c r="EH20" s="1">
        <v>9729477.0999999996</v>
      </c>
      <c r="EI20" s="1">
        <v>7.1858743570092998E-3</v>
      </c>
      <c r="EJ20" s="1"/>
      <c r="EK20" s="22">
        <v>977</v>
      </c>
      <c r="EL20" s="1" t="s">
        <v>17</v>
      </c>
      <c r="EM20" s="1">
        <v>2016</v>
      </c>
      <c r="EN20" s="1" t="s">
        <v>36</v>
      </c>
      <c r="EO20" s="1">
        <v>10014.9</v>
      </c>
      <c r="EP20" s="1">
        <v>3463407</v>
      </c>
      <c r="EQ20" s="1">
        <v>2.8916324301475E-3</v>
      </c>
      <c r="ER20" s="1"/>
      <c r="ES20" s="22">
        <v>2173</v>
      </c>
      <c r="ET20" s="1" t="s">
        <v>61</v>
      </c>
      <c r="EU20" s="1">
        <v>2016</v>
      </c>
      <c r="EV20" s="1" t="s">
        <v>36</v>
      </c>
      <c r="EW20" s="1">
        <v>272697.7</v>
      </c>
      <c r="EX20" s="1">
        <v>42141395.200000003</v>
      </c>
      <c r="EY20" s="1">
        <v>6.4710173620449998E-3</v>
      </c>
      <c r="EZ20" s="1"/>
      <c r="FA20" s="22">
        <v>3369</v>
      </c>
      <c r="FB20" s="1" t="s">
        <v>44</v>
      </c>
      <c r="FC20" s="1">
        <v>2016</v>
      </c>
      <c r="FD20" s="1" t="s">
        <v>36</v>
      </c>
      <c r="FE20" s="1">
        <v>32490.3</v>
      </c>
      <c r="FF20" s="1">
        <v>5868597.7999999998</v>
      </c>
      <c r="FG20" s="1">
        <v>5.5362969328038997E-3</v>
      </c>
      <c r="FH20" s="1"/>
      <c r="FI20" s="22">
        <v>4565</v>
      </c>
      <c r="FJ20" s="1" t="s">
        <v>38</v>
      </c>
      <c r="FK20" s="1">
        <v>2016</v>
      </c>
      <c r="FL20" s="1" t="s">
        <v>36</v>
      </c>
      <c r="FM20" s="1">
        <v>28677.8</v>
      </c>
      <c r="FN20" s="1">
        <v>5582986.5</v>
      </c>
      <c r="FO20" s="1">
        <v>5.1366414731613E-3</v>
      </c>
      <c r="FP20" s="1"/>
      <c r="FQ20" s="22">
        <v>5761</v>
      </c>
      <c r="FR20" s="1" t="s">
        <v>31</v>
      </c>
      <c r="FS20" s="1">
        <v>2016</v>
      </c>
      <c r="FT20" s="1" t="s">
        <v>36</v>
      </c>
      <c r="FU20" s="1">
        <v>63875.3</v>
      </c>
      <c r="FV20" s="1">
        <v>8130820.9000000004</v>
      </c>
      <c r="FW20" s="1">
        <v>7.8559472389805006E-3</v>
      </c>
      <c r="FX20" s="1"/>
      <c r="FY20" s="22">
        <v>6957</v>
      </c>
      <c r="FZ20" s="1" t="s">
        <v>51</v>
      </c>
      <c r="GA20" s="1">
        <v>2016</v>
      </c>
      <c r="GB20" s="1" t="s">
        <v>36</v>
      </c>
      <c r="GC20" s="1">
        <v>27576.7</v>
      </c>
      <c r="GD20" s="1">
        <v>4230502.5999999996</v>
      </c>
      <c r="GE20" s="1">
        <v>6.5185399011454996E-3</v>
      </c>
      <c r="GF20" s="1"/>
      <c r="GG20" s="22">
        <v>8153</v>
      </c>
      <c r="GH20" s="1" t="s">
        <v>57</v>
      </c>
      <c r="GI20" s="1">
        <v>2016</v>
      </c>
      <c r="GJ20" s="1" t="s">
        <v>36</v>
      </c>
      <c r="GK20" s="1">
        <v>78763</v>
      </c>
      <c r="GL20" s="1">
        <v>10773649.5</v>
      </c>
      <c r="GM20" s="1">
        <v>7.3107074812484999E-3</v>
      </c>
      <c r="GN20" s="1"/>
      <c r="GO20" s="22">
        <v>1023</v>
      </c>
      <c r="GP20" s="1" t="s">
        <v>17</v>
      </c>
      <c r="GQ20" s="1">
        <v>2017</v>
      </c>
      <c r="GR20" s="1" t="s">
        <v>36</v>
      </c>
      <c r="GS20" s="1">
        <v>9789.5</v>
      </c>
      <c r="GT20" s="1">
        <v>3719735.5</v>
      </c>
      <c r="GU20" s="1">
        <v>2.6317731462358E-3</v>
      </c>
      <c r="GV20" s="1"/>
      <c r="GW20" s="22">
        <v>2219</v>
      </c>
      <c r="GX20" s="1" t="s">
        <v>61</v>
      </c>
      <c r="GY20" s="1">
        <v>2017</v>
      </c>
      <c r="GZ20" s="1" t="s">
        <v>36</v>
      </c>
      <c r="HA20" s="1">
        <v>264374.40000000002</v>
      </c>
      <c r="HB20" s="1">
        <v>44107004.100000001</v>
      </c>
      <c r="HC20" s="1">
        <v>5.9939323786444999E-3</v>
      </c>
      <c r="HD20" s="1"/>
      <c r="HE20" s="22">
        <v>3415</v>
      </c>
      <c r="HF20" s="1" t="s">
        <v>44</v>
      </c>
      <c r="HG20" s="1">
        <v>2017</v>
      </c>
      <c r="HH20" s="1" t="s">
        <v>36</v>
      </c>
      <c r="HI20" s="1">
        <v>31571.1</v>
      </c>
      <c r="HJ20" s="1">
        <v>5855367.5</v>
      </c>
      <c r="HK20" s="1">
        <v>5.3918221187652998E-3</v>
      </c>
      <c r="HL20" s="1"/>
      <c r="HM20" s="22">
        <v>4611</v>
      </c>
      <c r="HN20" s="1" t="s">
        <v>38</v>
      </c>
      <c r="HO20" s="1">
        <v>2017</v>
      </c>
      <c r="HP20" s="1" t="s">
        <v>36</v>
      </c>
      <c r="HQ20" s="1">
        <v>30341.8</v>
      </c>
      <c r="HR20" s="1">
        <v>5923445.7000000002</v>
      </c>
      <c r="HS20" s="1">
        <v>5.1223226373121999E-3</v>
      </c>
      <c r="HT20" s="1"/>
      <c r="HU20" s="22">
        <v>5807</v>
      </c>
      <c r="HV20" s="1" t="s">
        <v>31</v>
      </c>
      <c r="HW20" s="1">
        <v>2017</v>
      </c>
      <c r="HX20" s="1" t="s">
        <v>36</v>
      </c>
      <c r="HY20" s="1">
        <v>59194.5</v>
      </c>
      <c r="HZ20" s="1">
        <v>8686095.3000000007</v>
      </c>
      <c r="IA20" s="1">
        <v>6.8148573041790002E-3</v>
      </c>
      <c r="IB20" s="1"/>
      <c r="IC20" s="22">
        <v>7003</v>
      </c>
      <c r="ID20" s="1" t="s">
        <v>51</v>
      </c>
      <c r="IE20" s="1">
        <v>2017</v>
      </c>
      <c r="IF20" s="1" t="s">
        <v>36</v>
      </c>
      <c r="IG20" s="1">
        <v>30630.5</v>
      </c>
      <c r="IH20" s="1">
        <v>4472691.8</v>
      </c>
      <c r="II20" s="1">
        <v>6.8483368337608E-3</v>
      </c>
      <c r="IJ20" s="1"/>
      <c r="IK20" s="22">
        <v>8199</v>
      </c>
      <c r="IL20" s="1" t="s">
        <v>57</v>
      </c>
      <c r="IM20" s="1">
        <v>2017</v>
      </c>
      <c r="IN20" s="1" t="s">
        <v>36</v>
      </c>
      <c r="IO20" s="1">
        <v>76656.7</v>
      </c>
      <c r="IP20" s="1">
        <v>10750260.5</v>
      </c>
      <c r="IQ20" s="1">
        <v>7.1306830192625998E-3</v>
      </c>
      <c r="IR20" s="1"/>
      <c r="IS20" s="22">
        <v>1069</v>
      </c>
      <c r="IT20" s="1" t="s">
        <v>17</v>
      </c>
      <c r="IU20" s="1">
        <v>2018</v>
      </c>
      <c r="IV20" s="1" t="s">
        <v>36</v>
      </c>
      <c r="IW20" s="1">
        <v>10178.799999999999</v>
      </c>
      <c r="IX20" s="1">
        <v>3904165.4</v>
      </c>
      <c r="IY20" s="1">
        <v>2.6071641329539E-3</v>
      </c>
      <c r="IZ20" s="1"/>
      <c r="JA20" s="22">
        <v>2265</v>
      </c>
      <c r="JB20" s="1" t="s">
        <v>61</v>
      </c>
      <c r="JC20" s="1">
        <v>2018</v>
      </c>
      <c r="JD20" s="1" t="s">
        <v>36</v>
      </c>
      <c r="JE20" s="1">
        <v>272345.8</v>
      </c>
      <c r="JF20" s="1">
        <v>46669099.200000003</v>
      </c>
      <c r="JG20" s="1">
        <v>5.8356772397268998E-3</v>
      </c>
      <c r="JH20" s="1"/>
      <c r="JI20" s="22">
        <v>3461</v>
      </c>
      <c r="JJ20" s="1" t="s">
        <v>44</v>
      </c>
      <c r="JK20" s="1">
        <v>2018</v>
      </c>
      <c r="JL20" s="1" t="s">
        <v>36</v>
      </c>
      <c r="JM20" s="1">
        <v>35181.9</v>
      </c>
      <c r="JN20" s="1">
        <v>6336724.7000000002</v>
      </c>
      <c r="JO20" s="1">
        <v>5.5520638288104E-3</v>
      </c>
      <c r="JP20" s="1"/>
      <c r="JQ20" s="22">
        <v>4657</v>
      </c>
      <c r="JR20" s="1" t="s">
        <v>38</v>
      </c>
      <c r="JS20" s="1">
        <v>2018</v>
      </c>
      <c r="JT20" s="1" t="s">
        <v>36</v>
      </c>
      <c r="JU20" s="1">
        <v>32223.9</v>
      </c>
      <c r="JV20" s="1">
        <v>6390706</v>
      </c>
      <c r="JW20" s="1">
        <v>5.0423067498331997E-3</v>
      </c>
      <c r="JX20" s="1"/>
      <c r="JY20" s="22">
        <v>5853</v>
      </c>
      <c r="JZ20" s="1" t="s">
        <v>31</v>
      </c>
      <c r="KA20" s="1">
        <v>2018</v>
      </c>
      <c r="KB20" s="1" t="s">
        <v>36</v>
      </c>
      <c r="KC20" s="1">
        <v>83082.399999999994</v>
      </c>
      <c r="KD20" s="1">
        <v>9443218.3000000007</v>
      </c>
      <c r="KE20" s="1">
        <v>8.7981022317358999E-3</v>
      </c>
      <c r="KF20" s="1"/>
      <c r="KG20" s="22">
        <v>7049</v>
      </c>
      <c r="KH20" s="1" t="s">
        <v>51</v>
      </c>
      <c r="KI20" s="1">
        <v>2018</v>
      </c>
      <c r="KJ20" s="1" t="s">
        <v>36</v>
      </c>
      <c r="KK20" s="1">
        <v>30874.799999999999</v>
      </c>
      <c r="KL20" s="1">
        <v>4803387.8</v>
      </c>
      <c r="KM20" s="1">
        <v>6.4277133734651996E-3</v>
      </c>
      <c r="KN20" s="1"/>
      <c r="KO20" s="22">
        <v>8245</v>
      </c>
      <c r="KP20" s="1" t="s">
        <v>57</v>
      </c>
      <c r="KQ20" s="1">
        <v>2018</v>
      </c>
      <c r="KR20" s="1" t="s">
        <v>36</v>
      </c>
      <c r="KS20" s="1">
        <v>77859.5</v>
      </c>
      <c r="KT20" s="1">
        <v>11172914.4</v>
      </c>
      <c r="KU20" s="1">
        <v>6.9685936195840997E-3</v>
      </c>
      <c r="KV20" s="1"/>
      <c r="KW20" s="22">
        <v>1115</v>
      </c>
      <c r="KX20" s="1" t="s">
        <v>17</v>
      </c>
      <c r="KY20" s="1">
        <v>2019</v>
      </c>
      <c r="KZ20" s="1" t="s">
        <v>36</v>
      </c>
      <c r="LA20" s="1">
        <v>10850.7</v>
      </c>
      <c r="LB20" s="1">
        <v>3955328</v>
      </c>
      <c r="LC20" s="1">
        <v>2.7433123118992E-3</v>
      </c>
      <c r="LD20" s="1"/>
      <c r="LE20" s="22">
        <v>2311</v>
      </c>
      <c r="LF20" s="1" t="s">
        <v>61</v>
      </c>
      <c r="LG20" s="1">
        <v>2019</v>
      </c>
      <c r="LH20" s="1" t="s">
        <v>36</v>
      </c>
      <c r="LI20" s="1">
        <v>293967.2</v>
      </c>
      <c r="LJ20" s="1">
        <v>48356774.5</v>
      </c>
      <c r="LK20" s="1">
        <v>6.0791316840207998E-3</v>
      </c>
      <c r="LL20" s="1"/>
      <c r="LM20" s="22">
        <v>3507</v>
      </c>
      <c r="LN20" s="1" t="s">
        <v>44</v>
      </c>
      <c r="LO20" s="1">
        <v>2019</v>
      </c>
      <c r="LP20" s="1" t="s">
        <v>36</v>
      </c>
      <c r="LQ20" s="1">
        <v>35526.400000000001</v>
      </c>
      <c r="LR20" s="1">
        <v>6269787.0999999996</v>
      </c>
      <c r="LS20" s="1">
        <v>5.6662849046341E-3</v>
      </c>
      <c r="LT20" s="1"/>
      <c r="LU20" s="22">
        <v>4703</v>
      </c>
      <c r="LV20" s="1" t="s">
        <v>38</v>
      </c>
      <c r="LW20" s="1">
        <v>2019</v>
      </c>
      <c r="LX20" s="1" t="s">
        <v>36</v>
      </c>
      <c r="LY20" s="1">
        <v>32834.300000000003</v>
      </c>
      <c r="LZ20" s="1">
        <v>6182094.5</v>
      </c>
      <c r="MA20" s="1">
        <v>5.3111934798149001E-3</v>
      </c>
      <c r="MB20" s="1"/>
      <c r="MC20" s="22">
        <v>5899</v>
      </c>
      <c r="MD20" s="1" t="s">
        <v>31</v>
      </c>
      <c r="ME20" s="1">
        <v>2019</v>
      </c>
      <c r="MF20" s="1" t="s">
        <v>36</v>
      </c>
      <c r="MG20" s="1">
        <v>81113.899999999994</v>
      </c>
      <c r="MH20" s="1">
        <v>9237079</v>
      </c>
      <c r="MI20" s="1">
        <v>8.7813366108484992E-3</v>
      </c>
      <c r="MJ20" s="1"/>
      <c r="MK20" s="22">
        <v>7095</v>
      </c>
      <c r="ML20" s="1" t="s">
        <v>51</v>
      </c>
      <c r="MM20" s="1">
        <v>2019</v>
      </c>
      <c r="MN20" s="1" t="s">
        <v>36</v>
      </c>
      <c r="MO20" s="1">
        <v>29723.8</v>
      </c>
      <c r="MP20" s="1">
        <v>4608662</v>
      </c>
      <c r="MQ20" s="1">
        <v>6.4495508674752003E-3</v>
      </c>
      <c r="MR20" s="1"/>
      <c r="MS20" s="22">
        <v>8291</v>
      </c>
      <c r="MT20" s="1" t="s">
        <v>57</v>
      </c>
      <c r="MU20" s="1">
        <v>2019</v>
      </c>
      <c r="MV20" s="1" t="s">
        <v>36</v>
      </c>
      <c r="MW20" s="1">
        <v>77632</v>
      </c>
      <c r="MX20" s="1">
        <v>11338077</v>
      </c>
      <c r="MY20" s="1">
        <v>6.8470164737812001E-3</v>
      </c>
      <c r="MZ20" s="1"/>
      <c r="NA20" s="22">
        <v>1161</v>
      </c>
      <c r="NB20" s="1" t="s">
        <v>17</v>
      </c>
      <c r="NC20" s="1">
        <v>2020</v>
      </c>
      <c r="ND20" s="1" t="s">
        <v>36</v>
      </c>
      <c r="NE20" s="1">
        <v>11039.9</v>
      </c>
      <c r="NF20" s="1">
        <v>3784752.3</v>
      </c>
      <c r="NG20" s="1">
        <v>2.9169412222828E-3</v>
      </c>
      <c r="NH20" s="1"/>
      <c r="NI20" s="22">
        <v>2357</v>
      </c>
      <c r="NJ20" s="1" t="s">
        <v>61</v>
      </c>
      <c r="NK20" s="1">
        <v>2020</v>
      </c>
      <c r="NL20" s="1" t="s">
        <v>36</v>
      </c>
      <c r="NM20" s="1">
        <v>298843.40000000002</v>
      </c>
      <c r="NN20" s="1">
        <v>47421769.399999999</v>
      </c>
      <c r="NO20" s="1">
        <v>6.3018188435625001E-3</v>
      </c>
      <c r="NP20" s="1"/>
      <c r="NQ20" s="22">
        <v>3553</v>
      </c>
      <c r="NR20" s="1" t="s">
        <v>44</v>
      </c>
      <c r="NS20" s="1">
        <v>2020</v>
      </c>
      <c r="NT20" s="1" t="s">
        <v>36</v>
      </c>
      <c r="NU20" s="1">
        <v>39882</v>
      </c>
      <c r="NV20" s="1">
        <v>5955345.3666666672</v>
      </c>
      <c r="NW20" s="1">
        <v>6.6968408286154999E-3</v>
      </c>
      <c r="NX20" s="1"/>
      <c r="NY20" s="22">
        <v>4749</v>
      </c>
      <c r="NZ20" s="1" t="s">
        <v>38</v>
      </c>
      <c r="OA20" s="1">
        <v>2020</v>
      </c>
      <c r="OB20" s="1" t="s">
        <v>36</v>
      </c>
      <c r="OC20" s="1">
        <v>33882.800000000003</v>
      </c>
      <c r="OD20" s="1">
        <v>5990228.4000000004</v>
      </c>
      <c r="OE20" s="1">
        <v>5.6563452572192001E-3</v>
      </c>
      <c r="OF20" s="1"/>
      <c r="OG20" s="22">
        <v>5945</v>
      </c>
      <c r="OH20" s="1" t="s">
        <v>31</v>
      </c>
      <c r="OI20" s="1">
        <v>2020</v>
      </c>
      <c r="OJ20" s="1" t="s">
        <v>36</v>
      </c>
      <c r="OK20" s="1">
        <v>77991.399999999994</v>
      </c>
      <c r="OL20" s="1">
        <v>9257180.0999999996</v>
      </c>
      <c r="OM20" s="1">
        <v>8.4249630187057997E-3</v>
      </c>
      <c r="ON20" s="1"/>
      <c r="OO20" s="22">
        <v>7141</v>
      </c>
      <c r="OP20" s="1" t="s">
        <v>51</v>
      </c>
      <c r="OQ20" s="1">
        <v>2020</v>
      </c>
      <c r="OR20" s="1" t="s">
        <v>36</v>
      </c>
      <c r="OS20" s="1">
        <v>29599.7</v>
      </c>
      <c r="OT20" s="1">
        <v>4352046.4000000004</v>
      </c>
      <c r="OU20" s="1">
        <v>6.8013291402407002E-3</v>
      </c>
      <c r="OV20" s="1"/>
      <c r="OW20" s="22">
        <v>8337</v>
      </c>
      <c r="OX20" s="1" t="s">
        <v>57</v>
      </c>
      <c r="OY20" s="1">
        <v>2020</v>
      </c>
      <c r="OZ20" s="1" t="s">
        <v>36</v>
      </c>
      <c r="PA20" s="1">
        <v>69842</v>
      </c>
      <c r="PB20" s="1">
        <v>11082248.733333331</v>
      </c>
      <c r="PC20" s="1">
        <v>6.3021505545105003E-3</v>
      </c>
      <c r="PD20" s="1"/>
      <c r="PE20" s="22">
        <v>8383</v>
      </c>
      <c r="PF20" s="1" t="s">
        <v>17</v>
      </c>
      <c r="PG20" s="1">
        <v>2021</v>
      </c>
      <c r="PH20" s="1" t="s">
        <v>36</v>
      </c>
      <c r="PI20" s="1">
        <v>13485.017009325031</v>
      </c>
      <c r="PJ20" s="1">
        <v>4622999.2247741111</v>
      </c>
      <c r="PK20" s="1">
        <v>2.9169412222828E-3</v>
      </c>
      <c r="PL20" s="1"/>
      <c r="PM20" s="22">
        <v>9303</v>
      </c>
      <c r="PN20" s="1" t="s">
        <v>61</v>
      </c>
      <c r="PO20" s="1">
        <v>2021</v>
      </c>
      <c r="PP20" s="1" t="s">
        <v>36</v>
      </c>
      <c r="PQ20" s="1">
        <v>331410.37665272219</v>
      </c>
      <c r="PR20" s="1">
        <v>52589638.782026872</v>
      </c>
      <c r="PS20" s="1">
        <v>6.3018188435625001E-3</v>
      </c>
      <c r="PT20" s="1"/>
      <c r="PU20" s="22">
        <v>10223</v>
      </c>
      <c r="PV20" s="1" t="s">
        <v>44</v>
      </c>
      <c r="PW20" s="1">
        <v>2021</v>
      </c>
      <c r="PX20" s="1" t="s">
        <v>36</v>
      </c>
      <c r="PY20" s="1">
        <v>46485.767559829997</v>
      </c>
      <c r="PZ20" s="1">
        <v>6941447.2808129201</v>
      </c>
      <c r="QA20" s="1">
        <v>6.6968408286154999E-3</v>
      </c>
      <c r="QB20" s="1"/>
      <c r="QC20" s="22">
        <v>11143</v>
      </c>
      <c r="QD20" s="1" t="s">
        <v>38</v>
      </c>
      <c r="QE20" s="1">
        <v>2021</v>
      </c>
      <c r="QF20" s="1" t="s">
        <v>36</v>
      </c>
      <c r="QG20" s="1">
        <v>37958.312494665377</v>
      </c>
      <c r="QH20" s="1">
        <v>6710748.8614170318</v>
      </c>
      <c r="QI20" s="1">
        <v>5.6563452572192001E-3</v>
      </c>
      <c r="QJ20" s="1"/>
      <c r="QK20" s="22">
        <v>12063</v>
      </c>
      <c r="QL20" s="1" t="s">
        <v>31</v>
      </c>
      <c r="QM20" s="1">
        <v>2021</v>
      </c>
      <c r="QN20" s="1" t="s">
        <v>36</v>
      </c>
      <c r="QO20" s="1">
        <v>86070.546889196019</v>
      </c>
      <c r="QP20" s="1">
        <v>10216133.49495957</v>
      </c>
      <c r="QQ20" s="1">
        <v>8.4249630187057997E-3</v>
      </c>
      <c r="QR20" s="1"/>
      <c r="QS20" s="22">
        <v>12983</v>
      </c>
      <c r="QT20" s="1" t="s">
        <v>51</v>
      </c>
      <c r="QU20" s="1">
        <v>2021</v>
      </c>
      <c r="QV20" s="1" t="s">
        <v>36</v>
      </c>
      <c r="QW20" s="1">
        <v>33816.324279677487</v>
      </c>
      <c r="QX20" s="1">
        <v>4972017.0252605537</v>
      </c>
      <c r="QY20" s="1">
        <v>6.8013291402407002E-3</v>
      </c>
      <c r="QZ20" s="1"/>
      <c r="RA20" s="22">
        <v>13903</v>
      </c>
      <c r="RB20" s="1" t="s">
        <v>57</v>
      </c>
      <c r="RC20" s="1">
        <v>2021</v>
      </c>
      <c r="RD20" s="1" t="s">
        <v>36</v>
      </c>
      <c r="RE20" s="1">
        <v>69635.821090724872</v>
      </c>
      <c r="RF20" s="1">
        <v>11049533.09007922</v>
      </c>
      <c r="RG20" s="1">
        <v>6.3021505545105003E-3</v>
      </c>
      <c r="RH20" s="1"/>
      <c r="RI20" s="22">
        <v>8429</v>
      </c>
      <c r="RJ20" s="1" t="s">
        <v>17</v>
      </c>
      <c r="RK20" s="1">
        <v>2022</v>
      </c>
      <c r="RL20" s="1" t="s">
        <v>36</v>
      </c>
      <c r="RM20" s="1">
        <v>14605.42336622971</v>
      </c>
      <c r="RN20" s="1">
        <v>5007102.3902221443</v>
      </c>
      <c r="RO20" s="1">
        <v>2.9169412222828E-3</v>
      </c>
      <c r="RP20" s="1"/>
      <c r="RQ20" s="22">
        <v>9349</v>
      </c>
      <c r="RR20" s="1" t="s">
        <v>61</v>
      </c>
      <c r="RS20" s="1">
        <v>2022</v>
      </c>
      <c r="RT20" s="1" t="s">
        <v>36</v>
      </c>
      <c r="RU20" s="1">
        <v>363957.76077942341</v>
      </c>
      <c r="RV20" s="1">
        <v>57754399.13688051</v>
      </c>
      <c r="RW20" s="1">
        <v>6.3018188435625001E-3</v>
      </c>
      <c r="RX20" s="1"/>
      <c r="RY20" s="22">
        <v>10269</v>
      </c>
      <c r="RZ20" s="1" t="s">
        <v>44</v>
      </c>
      <c r="SA20" s="1">
        <v>2022</v>
      </c>
      <c r="SB20" s="1" t="s">
        <v>36</v>
      </c>
      <c r="SC20" s="1">
        <v>46052.753016559887</v>
      </c>
      <c r="SD20" s="1">
        <v>6876787.7563667288</v>
      </c>
      <c r="SE20" s="1">
        <v>6.6968408286154999E-3</v>
      </c>
      <c r="SF20" s="1"/>
      <c r="SG20" s="22">
        <v>11189</v>
      </c>
      <c r="SH20" s="1" t="s">
        <v>38</v>
      </c>
      <c r="SI20" s="1">
        <v>2022</v>
      </c>
      <c r="SJ20" s="1" t="s">
        <v>36</v>
      </c>
      <c r="SK20" s="1">
        <v>35781.33622867649</v>
      </c>
      <c r="SL20" s="1">
        <v>6325875.5612572851</v>
      </c>
      <c r="SM20" s="1">
        <v>5.6563452572192001E-3</v>
      </c>
      <c r="SN20" s="1"/>
      <c r="SO20" s="22">
        <v>12109</v>
      </c>
      <c r="SP20" s="1" t="s">
        <v>31</v>
      </c>
      <c r="SQ20" s="1">
        <v>2022</v>
      </c>
      <c r="SR20" s="1" t="s">
        <v>36</v>
      </c>
      <c r="SS20" s="1">
        <v>82414.582486915926</v>
      </c>
      <c r="ST20" s="1">
        <v>9782189.227885304</v>
      </c>
      <c r="SU20" s="1">
        <v>8.4249630187057997E-3</v>
      </c>
      <c r="SV20" s="1"/>
      <c r="SW20" s="22">
        <v>13029</v>
      </c>
      <c r="SX20" s="1" t="s">
        <v>51</v>
      </c>
      <c r="SY20" s="1">
        <v>2022</v>
      </c>
      <c r="SZ20" s="1" t="s">
        <v>36</v>
      </c>
      <c r="TA20" s="1">
        <v>32650.324396061409</v>
      </c>
      <c r="TB20" s="1">
        <v>4800579.963537232</v>
      </c>
      <c r="TC20" s="1">
        <v>6.8013291402407002E-3</v>
      </c>
      <c r="TD20" s="1"/>
      <c r="TE20" s="22">
        <v>13949</v>
      </c>
      <c r="TF20" s="1" t="s">
        <v>57</v>
      </c>
      <c r="TG20" s="1">
        <v>2022</v>
      </c>
      <c r="TH20" s="1" t="s">
        <v>36</v>
      </c>
      <c r="TI20" s="1">
        <v>58902.771690934213</v>
      </c>
      <c r="TJ20" s="1">
        <v>9346455.8140041605</v>
      </c>
      <c r="TK20" s="1">
        <v>6.3021505545105003E-3</v>
      </c>
      <c r="TL20" s="1"/>
      <c r="TM20" s="22">
        <v>8475</v>
      </c>
      <c r="TN20" s="1" t="s">
        <v>17</v>
      </c>
      <c r="TO20" s="1">
        <v>2023</v>
      </c>
      <c r="TP20" s="1" t="s">
        <v>36</v>
      </c>
      <c r="TQ20" s="1">
        <v>14491.60240263772</v>
      </c>
      <c r="TR20" s="1">
        <v>4968081.7329930915</v>
      </c>
      <c r="TS20" s="1">
        <v>2.9169412222828E-3</v>
      </c>
      <c r="TT20" s="1"/>
      <c r="TU20" s="22">
        <v>9395</v>
      </c>
      <c r="TV20" s="1" t="s">
        <v>61</v>
      </c>
      <c r="TW20" s="1">
        <v>2023</v>
      </c>
      <c r="TX20" s="1" t="s">
        <v>36</v>
      </c>
      <c r="TY20" s="1">
        <v>387941.8115668596</v>
      </c>
      <c r="TZ20" s="1">
        <v>61560292.543660469</v>
      </c>
      <c r="UA20" s="1">
        <v>6.3018188435625001E-3</v>
      </c>
      <c r="UB20" s="1"/>
      <c r="UC20" s="22">
        <v>10315</v>
      </c>
      <c r="UD20" s="1" t="s">
        <v>44</v>
      </c>
      <c r="UE20" s="1">
        <v>2023</v>
      </c>
      <c r="UF20" s="1" t="s">
        <v>36</v>
      </c>
      <c r="UG20" s="1">
        <v>49836.010545909659</v>
      </c>
      <c r="UH20" s="1">
        <v>7441719.4347760417</v>
      </c>
      <c r="UI20" s="1">
        <v>6.6968408286154999E-3</v>
      </c>
      <c r="UJ20" s="1"/>
      <c r="UK20" s="22">
        <v>11235</v>
      </c>
      <c r="UL20" s="1" t="s">
        <v>38</v>
      </c>
      <c r="UM20" s="1">
        <v>2023</v>
      </c>
      <c r="UN20" s="1" t="s">
        <v>36</v>
      </c>
      <c r="UO20" s="1">
        <v>39051.087273454839</v>
      </c>
      <c r="UP20" s="1">
        <v>6903943.3587640161</v>
      </c>
      <c r="UQ20" s="1">
        <v>5.6563452572192001E-3</v>
      </c>
      <c r="UR20" s="1"/>
      <c r="US20" s="22">
        <v>12155</v>
      </c>
      <c r="UT20" s="1" t="s">
        <v>31</v>
      </c>
      <c r="UU20" s="1">
        <v>2023</v>
      </c>
      <c r="UV20" s="1" t="s">
        <v>36</v>
      </c>
      <c r="UW20" s="1">
        <v>89582.014593389235</v>
      </c>
      <c r="UX20" s="1">
        <v>10632926.743356841</v>
      </c>
      <c r="UY20" s="1">
        <v>8.4249630187057997E-3</v>
      </c>
      <c r="UZ20" s="1"/>
      <c r="VA20" s="22">
        <v>13075</v>
      </c>
      <c r="VB20" s="1" t="s">
        <v>51</v>
      </c>
      <c r="VC20" s="1">
        <v>2023</v>
      </c>
      <c r="VD20" s="1" t="s">
        <v>36</v>
      </c>
      <c r="VE20" s="1">
        <v>35762.24370216157</v>
      </c>
      <c r="VF20" s="1">
        <v>5258125.7228930313</v>
      </c>
      <c r="VG20" s="1">
        <v>6.8013291402407002E-3</v>
      </c>
      <c r="VH20" s="1"/>
      <c r="VI20" s="22">
        <v>13995</v>
      </c>
      <c r="VJ20" s="1" t="s">
        <v>57</v>
      </c>
      <c r="VK20" s="1">
        <v>2023</v>
      </c>
      <c r="VL20" s="1" t="s">
        <v>36</v>
      </c>
      <c r="VM20" s="1">
        <v>58221.635066392002</v>
      </c>
      <c r="VN20" s="1">
        <v>9238375.7834414635</v>
      </c>
      <c r="VO20" s="1">
        <v>6.3021505545105003E-3</v>
      </c>
      <c r="VP20" s="1"/>
      <c r="VQ20" s="22">
        <v>8521</v>
      </c>
      <c r="VR20" s="1" t="s">
        <v>17</v>
      </c>
      <c r="VS20" s="1">
        <v>2024</v>
      </c>
      <c r="VT20" s="1" t="s">
        <v>36</v>
      </c>
      <c r="VU20" s="1">
        <v>14944.419135943661</v>
      </c>
      <c r="VV20" s="1">
        <v>5123318.5714479852</v>
      </c>
      <c r="VW20" s="1">
        <v>2.9169412222828E-3</v>
      </c>
      <c r="VX20" s="1"/>
      <c r="VY20" s="22">
        <v>9441</v>
      </c>
      <c r="VZ20" s="1" t="s">
        <v>61</v>
      </c>
      <c r="WA20" s="1">
        <v>2024</v>
      </c>
      <c r="WB20" s="1" t="s">
        <v>36</v>
      </c>
      <c r="WC20" s="1">
        <v>408432.7948571876</v>
      </c>
      <c r="WD20" s="1">
        <v>64811890.820126347</v>
      </c>
      <c r="WE20" s="1">
        <v>6.3018188435625001E-3</v>
      </c>
      <c r="WF20" s="1"/>
      <c r="WG20" s="22">
        <v>10361</v>
      </c>
      <c r="WH20" s="1" t="s">
        <v>44</v>
      </c>
      <c r="WI20" s="1">
        <v>2024</v>
      </c>
      <c r="WJ20" s="1" t="s">
        <v>36</v>
      </c>
      <c r="WK20" s="1">
        <v>53887.683852593873</v>
      </c>
      <c r="WL20" s="1">
        <v>8046732.0684004631</v>
      </c>
      <c r="WM20" s="1">
        <v>6.6968408286154999E-3</v>
      </c>
      <c r="WN20" s="1"/>
      <c r="WO20" s="22">
        <v>11281</v>
      </c>
      <c r="WP20" s="1" t="s">
        <v>38</v>
      </c>
      <c r="WQ20" s="1">
        <v>2024</v>
      </c>
      <c r="WR20" s="1" t="s">
        <v>36</v>
      </c>
      <c r="WS20" s="1">
        <v>40461.841598531399</v>
      </c>
      <c r="WT20" s="1">
        <v>7153354.2877160665</v>
      </c>
      <c r="WU20" s="1">
        <v>5.6563452572192001E-3</v>
      </c>
      <c r="WV20" s="1"/>
      <c r="WW20" s="22">
        <v>12201</v>
      </c>
      <c r="WX20" s="1" t="s">
        <v>31</v>
      </c>
      <c r="WY20" s="1">
        <v>2024</v>
      </c>
      <c r="WZ20" s="1" t="s">
        <v>36</v>
      </c>
      <c r="XA20" s="1">
        <v>92238.972372046817</v>
      </c>
      <c r="XB20" s="1">
        <v>10948294.03609846</v>
      </c>
      <c r="XC20" s="1">
        <v>8.4249630187057997E-3</v>
      </c>
      <c r="XD20" s="1"/>
      <c r="XE20" s="22">
        <v>13121</v>
      </c>
      <c r="XF20" s="1" t="s">
        <v>51</v>
      </c>
      <c r="XG20" s="1">
        <v>2024</v>
      </c>
      <c r="XH20" s="1" t="s">
        <v>36</v>
      </c>
      <c r="XI20" s="1">
        <v>36819.93004854527</v>
      </c>
      <c r="XJ20" s="1">
        <v>5413637.436055948</v>
      </c>
      <c r="XK20" s="1">
        <v>6.8013291402407002E-3</v>
      </c>
      <c r="XL20" s="1"/>
      <c r="XM20" s="22">
        <v>14041</v>
      </c>
      <c r="XN20" s="1" t="s">
        <v>57</v>
      </c>
      <c r="XO20" s="1">
        <v>2024</v>
      </c>
      <c r="XP20" s="1" t="s">
        <v>36</v>
      </c>
      <c r="XQ20" s="1">
        <v>55638.041978049347</v>
      </c>
      <c r="XR20" s="1">
        <v>8828421.583522588</v>
      </c>
      <c r="XS20" s="1">
        <v>6.3021505545105003E-3</v>
      </c>
      <c r="XT20" s="1"/>
    </row>
    <row r="21" spans="1:644" x14ac:dyDescent="0.25">
      <c r="A21" s="2">
        <v>12</v>
      </c>
      <c r="B21" s="1" t="s">
        <v>17</v>
      </c>
      <c r="C21" s="1" t="s">
        <v>37</v>
      </c>
      <c r="D21" s="1">
        <v>6.1086064052003524E-3</v>
      </c>
      <c r="E21" s="1">
        <v>6.5107816757839039E-3</v>
      </c>
      <c r="F21" s="1">
        <v>6.5212953603200549E-3</v>
      </c>
      <c r="G21" s="1">
        <v>6.4193005120928622E-3</v>
      </c>
      <c r="H21" s="1">
        <v>6.4503414737500618E-3</v>
      </c>
      <c r="I21" s="1">
        <v>6.2613517766415324E-3</v>
      </c>
      <c r="J21" s="1">
        <v>6.0810056182540656E-3</v>
      </c>
      <c r="K21" s="1">
        <v>6.0810056182540118E-3</v>
      </c>
      <c r="L21" s="1">
        <v>6.0810056182540118E-3</v>
      </c>
      <c r="M21" s="1">
        <v>6.0810056182540118E-3</v>
      </c>
      <c r="N21" s="1">
        <v>6.0810056182540118E-3</v>
      </c>
      <c r="O21" s="1">
        <v>6.2433368450053543E-3</v>
      </c>
      <c r="P21" s="1"/>
      <c r="Q21" s="2">
        <v>108</v>
      </c>
      <c r="R21" s="1" t="s">
        <v>38</v>
      </c>
      <c r="S21" s="16" t="s">
        <v>19</v>
      </c>
      <c r="T21" s="16">
        <v>5.1423228530617197E-3</v>
      </c>
      <c r="U21" s="1"/>
      <c r="V21" t="s">
        <v>17</v>
      </c>
      <c r="W21">
        <f>SUM(O25+O34+O42+O43+O44+O47)</f>
        <v>0.14049573861767398</v>
      </c>
      <c r="AC21" s="22">
        <v>886</v>
      </c>
      <c r="AD21" s="1" t="s">
        <v>17</v>
      </c>
      <c r="AE21" s="1">
        <v>2014</v>
      </c>
      <c r="AF21" s="1" t="s">
        <v>37</v>
      </c>
      <c r="AG21" s="1">
        <v>24973.3</v>
      </c>
      <c r="AH21" s="1">
        <v>4088215.6</v>
      </c>
      <c r="AI21" s="1">
        <v>6.1086064052003003E-3</v>
      </c>
      <c r="AJ21" s="1"/>
      <c r="AK21" s="22">
        <v>2082</v>
      </c>
      <c r="AL21" s="1" t="s">
        <v>61</v>
      </c>
      <c r="AM21" s="1">
        <v>2014</v>
      </c>
      <c r="AN21" s="1" t="s">
        <v>37</v>
      </c>
      <c r="AO21" s="1">
        <v>230691.6</v>
      </c>
      <c r="AP21" s="1">
        <v>40350049.200000003</v>
      </c>
      <c r="AQ21" s="1">
        <v>5.7172569692925997E-3</v>
      </c>
      <c r="AR21" s="1"/>
      <c r="AS21" s="22">
        <v>3278</v>
      </c>
      <c r="AT21" s="1" t="s">
        <v>44</v>
      </c>
      <c r="AU21" s="1">
        <v>2014</v>
      </c>
      <c r="AV21" s="1" t="s">
        <v>37</v>
      </c>
      <c r="AW21" s="1">
        <v>34827.9</v>
      </c>
      <c r="AX21" s="1">
        <v>6735816.8000000007</v>
      </c>
      <c r="AY21" s="1">
        <v>5.1705533321510996E-3</v>
      </c>
      <c r="AZ21" s="1"/>
      <c r="BA21" s="22">
        <v>4474</v>
      </c>
      <c r="BB21" s="1" t="s">
        <v>38</v>
      </c>
      <c r="BC21" s="1">
        <v>2014</v>
      </c>
      <c r="BD21" s="1" t="s">
        <v>37</v>
      </c>
      <c r="BE21" s="1">
        <v>37400.800000000003</v>
      </c>
      <c r="BF21" s="1">
        <v>6538596.7000000002</v>
      </c>
      <c r="BG21" s="1">
        <v>5.7200041103619998E-3</v>
      </c>
      <c r="BH21" s="1"/>
      <c r="BI21" s="22">
        <v>5670</v>
      </c>
      <c r="BJ21" s="1" t="s">
        <v>31</v>
      </c>
      <c r="BK21" s="1">
        <v>2014</v>
      </c>
      <c r="BL21" s="1" t="s">
        <v>37</v>
      </c>
      <c r="BM21" s="1">
        <v>101544.5</v>
      </c>
      <c r="BN21" s="1">
        <v>9155477.5</v>
      </c>
      <c r="BO21" s="1">
        <v>1.1091120042619199E-2</v>
      </c>
      <c r="BP21" s="1"/>
      <c r="BQ21" s="22">
        <v>6866</v>
      </c>
      <c r="BR21" s="1" t="s">
        <v>51</v>
      </c>
      <c r="BS21" s="1">
        <v>2014</v>
      </c>
      <c r="BT21" s="1" t="s">
        <v>37</v>
      </c>
      <c r="BU21" s="1">
        <v>54002.2</v>
      </c>
      <c r="BV21" s="1">
        <v>4981875.5</v>
      </c>
      <c r="BW21" s="1">
        <v>1.0839732947962999E-2</v>
      </c>
      <c r="BX21" s="1"/>
      <c r="BY21" s="22">
        <v>8062</v>
      </c>
      <c r="BZ21" s="1" t="s">
        <v>57</v>
      </c>
      <c r="CA21" s="1">
        <v>2014</v>
      </c>
      <c r="CB21" s="1" t="s">
        <v>37</v>
      </c>
      <c r="CC21" s="1">
        <v>121334.9</v>
      </c>
      <c r="CD21" s="1">
        <v>11026913.800000001</v>
      </c>
      <c r="CE21" s="1">
        <v>1.10035230347044E-2</v>
      </c>
      <c r="CF21" s="1"/>
      <c r="CG21" s="22">
        <v>932</v>
      </c>
      <c r="CH21" s="1" t="s">
        <v>17</v>
      </c>
      <c r="CI21" s="1">
        <v>2015</v>
      </c>
      <c r="CJ21" s="1" t="s">
        <v>37</v>
      </c>
      <c r="CK21" s="1">
        <v>23146.7</v>
      </c>
      <c r="CL21" s="1">
        <v>3555133.8</v>
      </c>
      <c r="CM21" s="1">
        <v>6.5107816757839004E-3</v>
      </c>
      <c r="CN21" s="1"/>
      <c r="CO21" s="22">
        <v>2128</v>
      </c>
      <c r="CP21" s="1" t="s">
        <v>61</v>
      </c>
      <c r="CQ21" s="1">
        <v>2015</v>
      </c>
      <c r="CR21" s="1" t="s">
        <v>37</v>
      </c>
      <c r="CS21" s="1">
        <v>232957.8</v>
      </c>
      <c r="CT21" s="1">
        <v>41208556.399999999</v>
      </c>
      <c r="CU21" s="1">
        <v>5.6531414917509E-3</v>
      </c>
      <c r="CV21" s="1"/>
      <c r="CW21" s="22">
        <v>3324</v>
      </c>
      <c r="CX21" s="1" t="s">
        <v>44</v>
      </c>
      <c r="CY21" s="1">
        <v>2015</v>
      </c>
      <c r="CZ21" s="1" t="s">
        <v>37</v>
      </c>
      <c r="DA21" s="1">
        <v>33038.300000000003</v>
      </c>
      <c r="DB21" s="1">
        <v>6404349.4000000004</v>
      </c>
      <c r="DC21" s="1">
        <v>5.1587285353294002E-3</v>
      </c>
      <c r="DD21" s="1"/>
      <c r="DE21" s="22">
        <v>4520</v>
      </c>
      <c r="DF21" s="1" t="s">
        <v>38</v>
      </c>
      <c r="DG21" s="1">
        <v>2015</v>
      </c>
      <c r="DH21" s="1" t="s">
        <v>37</v>
      </c>
      <c r="DI21" s="1">
        <v>32233.8</v>
      </c>
      <c r="DJ21" s="1">
        <v>5531517.5999999996</v>
      </c>
      <c r="DK21" s="1">
        <v>5.8272977383276997E-3</v>
      </c>
      <c r="DL21" s="1"/>
      <c r="DM21" s="22">
        <v>5716</v>
      </c>
      <c r="DN21" s="1" t="s">
        <v>31</v>
      </c>
      <c r="DO21" s="1">
        <v>2015</v>
      </c>
      <c r="DP21" s="1" t="s">
        <v>37</v>
      </c>
      <c r="DQ21" s="1">
        <v>87317.4</v>
      </c>
      <c r="DR21" s="1">
        <v>7894528</v>
      </c>
      <c r="DS21" s="1">
        <v>1.1060496587003E-2</v>
      </c>
      <c r="DT21" s="1"/>
      <c r="DU21" s="22">
        <v>6912</v>
      </c>
      <c r="DV21" s="1" t="s">
        <v>51</v>
      </c>
      <c r="DW21" s="1">
        <v>2015</v>
      </c>
      <c r="DX21" s="1" t="s">
        <v>37</v>
      </c>
      <c r="DY21" s="1">
        <v>46323.5</v>
      </c>
      <c r="DZ21" s="1">
        <v>4209274.5999999996</v>
      </c>
      <c r="EA21" s="1">
        <v>1.1005102874495199E-2</v>
      </c>
      <c r="EB21" s="1"/>
      <c r="EC21" s="22">
        <v>8108</v>
      </c>
      <c r="ED21" s="1" t="s">
        <v>57</v>
      </c>
      <c r="EE21" s="1">
        <v>2015</v>
      </c>
      <c r="EF21" s="1" t="s">
        <v>37</v>
      </c>
      <c r="EG21" s="1">
        <v>109896.4</v>
      </c>
      <c r="EH21" s="1">
        <v>9729477.0999999996</v>
      </c>
      <c r="EI21" s="1">
        <v>1.1295201054535599E-2</v>
      </c>
      <c r="EJ21" s="1"/>
      <c r="EK21" s="22">
        <v>978</v>
      </c>
      <c r="EL21" s="1" t="s">
        <v>17</v>
      </c>
      <c r="EM21" s="1">
        <v>2016</v>
      </c>
      <c r="EN21" s="1" t="s">
        <v>37</v>
      </c>
      <c r="EO21" s="1">
        <v>22585.9</v>
      </c>
      <c r="EP21" s="1">
        <v>3463407</v>
      </c>
      <c r="EQ21" s="1">
        <v>6.5212953603200003E-3</v>
      </c>
      <c r="ER21" s="1"/>
      <c r="ES21" s="22">
        <v>2174</v>
      </c>
      <c r="ET21" s="1" t="s">
        <v>61</v>
      </c>
      <c r="EU21" s="1">
        <v>2016</v>
      </c>
      <c r="EV21" s="1" t="s">
        <v>37</v>
      </c>
      <c r="EW21" s="1">
        <v>230389.7</v>
      </c>
      <c r="EX21" s="1">
        <v>42141395.200000003</v>
      </c>
      <c r="EY21" s="1">
        <v>5.4670638906610999E-3</v>
      </c>
      <c r="EZ21" s="1"/>
      <c r="FA21" s="22">
        <v>3370</v>
      </c>
      <c r="FB21" s="1" t="s">
        <v>44</v>
      </c>
      <c r="FC21" s="1">
        <v>2016</v>
      </c>
      <c r="FD21" s="1" t="s">
        <v>37</v>
      </c>
      <c r="FE21" s="1">
        <v>30265.599999999999</v>
      </c>
      <c r="FF21" s="1">
        <v>5868597.7999999998</v>
      </c>
      <c r="FG21" s="1">
        <v>5.1572114892589E-3</v>
      </c>
      <c r="FH21" s="1"/>
      <c r="FI21" s="22">
        <v>4566</v>
      </c>
      <c r="FJ21" s="1" t="s">
        <v>38</v>
      </c>
      <c r="FK21" s="1">
        <v>2016</v>
      </c>
      <c r="FL21" s="1" t="s">
        <v>37</v>
      </c>
      <c r="FM21" s="1">
        <v>32033.9</v>
      </c>
      <c r="FN21" s="1">
        <v>5582986.5</v>
      </c>
      <c r="FO21" s="1">
        <v>5.7377713523040002E-3</v>
      </c>
      <c r="FP21" s="1"/>
      <c r="FQ21" s="22">
        <v>5762</v>
      </c>
      <c r="FR21" s="1" t="s">
        <v>31</v>
      </c>
      <c r="FS21" s="1">
        <v>2016</v>
      </c>
      <c r="FT21" s="1" t="s">
        <v>37</v>
      </c>
      <c r="FU21" s="1">
        <v>89667.6</v>
      </c>
      <c r="FV21" s="1">
        <v>8130820.9000000004</v>
      </c>
      <c r="FW21" s="1">
        <v>1.10281115649712E-2</v>
      </c>
      <c r="FX21" s="1"/>
      <c r="FY21" s="22">
        <v>6958</v>
      </c>
      <c r="FZ21" s="1" t="s">
        <v>51</v>
      </c>
      <c r="GA21" s="1">
        <v>2016</v>
      </c>
      <c r="GB21" s="1" t="s">
        <v>37</v>
      </c>
      <c r="GC21" s="1">
        <v>46439.8</v>
      </c>
      <c r="GD21" s="1">
        <v>4230502.5999999996</v>
      </c>
      <c r="GE21" s="1">
        <v>1.0977371813930501E-2</v>
      </c>
      <c r="GF21" s="1"/>
      <c r="GG21" s="22">
        <v>8154</v>
      </c>
      <c r="GH21" s="1" t="s">
        <v>57</v>
      </c>
      <c r="GI21" s="1">
        <v>2016</v>
      </c>
      <c r="GJ21" s="1" t="s">
        <v>37</v>
      </c>
      <c r="GK21" s="1">
        <v>117879.5</v>
      </c>
      <c r="GL21" s="1">
        <v>10773649.5</v>
      </c>
      <c r="GM21" s="1">
        <v>1.0941464171449001E-2</v>
      </c>
      <c r="GN21" s="1"/>
      <c r="GO21" s="22">
        <v>1024</v>
      </c>
      <c r="GP21" s="1" t="s">
        <v>17</v>
      </c>
      <c r="GQ21" s="1">
        <v>2017</v>
      </c>
      <c r="GR21" s="1" t="s">
        <v>37</v>
      </c>
      <c r="GS21" s="1">
        <v>23878.1</v>
      </c>
      <c r="GT21" s="1">
        <v>3719735.5</v>
      </c>
      <c r="GU21" s="1">
        <v>6.4193005120927998E-3</v>
      </c>
      <c r="GV21" s="1"/>
      <c r="GW21" s="22">
        <v>2220</v>
      </c>
      <c r="GX21" s="1" t="s">
        <v>61</v>
      </c>
      <c r="GY21" s="1">
        <v>2017</v>
      </c>
      <c r="GZ21" s="1" t="s">
        <v>37</v>
      </c>
      <c r="HA21" s="1">
        <v>235846.1</v>
      </c>
      <c r="HB21" s="1">
        <v>44107004.100000001</v>
      </c>
      <c r="HC21" s="1">
        <v>5.3471348782902E-3</v>
      </c>
      <c r="HD21" s="1"/>
      <c r="HE21" s="22">
        <v>3416</v>
      </c>
      <c r="HF21" s="1" t="s">
        <v>44</v>
      </c>
      <c r="HG21" s="1">
        <v>2017</v>
      </c>
      <c r="HH21" s="1" t="s">
        <v>37</v>
      </c>
      <c r="HI21" s="1">
        <v>29640.5</v>
      </c>
      <c r="HJ21" s="1">
        <v>5855367.5</v>
      </c>
      <c r="HK21" s="1">
        <v>5.0621075449149002E-3</v>
      </c>
      <c r="HL21" s="1"/>
      <c r="HM21" s="22">
        <v>4612</v>
      </c>
      <c r="HN21" s="1" t="s">
        <v>38</v>
      </c>
      <c r="HO21" s="1">
        <v>2017</v>
      </c>
      <c r="HP21" s="1" t="s">
        <v>37</v>
      </c>
      <c r="HQ21" s="1">
        <v>34364.400000000001</v>
      </c>
      <c r="HR21" s="1">
        <v>5923445.7000000002</v>
      </c>
      <c r="HS21" s="1">
        <v>5.8014206157067996E-3</v>
      </c>
      <c r="HT21" s="1"/>
      <c r="HU21" s="22">
        <v>5808</v>
      </c>
      <c r="HV21" s="1" t="s">
        <v>31</v>
      </c>
      <c r="HW21" s="1">
        <v>2017</v>
      </c>
      <c r="HX21" s="1" t="s">
        <v>37</v>
      </c>
      <c r="HY21" s="1">
        <v>95314.5</v>
      </c>
      <c r="HZ21" s="1">
        <v>8686095.3000000007</v>
      </c>
      <c r="IA21" s="1">
        <v>1.0973227521461799E-2</v>
      </c>
      <c r="IB21" s="1"/>
      <c r="IC21" s="22">
        <v>7004</v>
      </c>
      <c r="ID21" s="1" t="s">
        <v>51</v>
      </c>
      <c r="IE21" s="1">
        <v>2017</v>
      </c>
      <c r="IF21" s="1" t="s">
        <v>37</v>
      </c>
      <c r="IG21" s="1">
        <v>50346.9</v>
      </c>
      <c r="IH21" s="1">
        <v>4472691.8</v>
      </c>
      <c r="II21" s="1">
        <v>1.1256510005898401E-2</v>
      </c>
      <c r="IJ21" s="1"/>
      <c r="IK21" s="22">
        <v>8200</v>
      </c>
      <c r="IL21" s="1" t="s">
        <v>57</v>
      </c>
      <c r="IM21" s="1">
        <v>2017</v>
      </c>
      <c r="IN21" s="1" t="s">
        <v>37</v>
      </c>
      <c r="IO21" s="1">
        <v>120239.8</v>
      </c>
      <c r="IP21" s="1">
        <v>10750260.5</v>
      </c>
      <c r="IQ21" s="1">
        <v>1.1184826637456799E-2</v>
      </c>
      <c r="IR21" s="1"/>
      <c r="IS21" s="22">
        <v>1070</v>
      </c>
      <c r="IT21" s="1" t="s">
        <v>17</v>
      </c>
      <c r="IU21" s="1">
        <v>2018</v>
      </c>
      <c r="IV21" s="1" t="s">
        <v>37</v>
      </c>
      <c r="IW21" s="1">
        <v>25183.200000000001</v>
      </c>
      <c r="IX21" s="1">
        <v>3904165.4</v>
      </c>
      <c r="IY21" s="1">
        <v>6.4503414737500002E-3</v>
      </c>
      <c r="IZ21" s="1"/>
      <c r="JA21" s="22">
        <v>2266</v>
      </c>
      <c r="JB21" s="1" t="s">
        <v>61</v>
      </c>
      <c r="JC21" s="1">
        <v>2018</v>
      </c>
      <c r="JD21" s="1" t="s">
        <v>37</v>
      </c>
      <c r="JE21" s="1">
        <v>251658.8</v>
      </c>
      <c r="JF21" s="1">
        <v>46669099.200000003</v>
      </c>
      <c r="JG21" s="1">
        <v>5.3924074883364998E-3</v>
      </c>
      <c r="JH21" s="1"/>
      <c r="JI21" s="22">
        <v>3462</v>
      </c>
      <c r="JJ21" s="1" t="s">
        <v>44</v>
      </c>
      <c r="JK21" s="1">
        <v>2018</v>
      </c>
      <c r="JL21" s="1" t="s">
        <v>37</v>
      </c>
      <c r="JM21" s="1">
        <v>32014.6</v>
      </c>
      <c r="JN21" s="1">
        <v>6336724.7000000002</v>
      </c>
      <c r="JO21" s="1">
        <v>5.0522314785112002E-3</v>
      </c>
      <c r="JP21" s="1"/>
      <c r="JQ21" s="22">
        <v>4658</v>
      </c>
      <c r="JR21" s="1" t="s">
        <v>38</v>
      </c>
      <c r="JS21" s="1">
        <v>2018</v>
      </c>
      <c r="JT21" s="1" t="s">
        <v>37</v>
      </c>
      <c r="JU21" s="1">
        <v>35907.4</v>
      </c>
      <c r="JV21" s="1">
        <v>6390706</v>
      </c>
      <c r="JW21" s="1">
        <v>5.6186906423170997E-3</v>
      </c>
      <c r="JX21" s="1"/>
      <c r="JY21" s="22">
        <v>5854</v>
      </c>
      <c r="JZ21" s="1" t="s">
        <v>31</v>
      </c>
      <c r="KA21" s="1">
        <v>2018</v>
      </c>
      <c r="KB21" s="1" t="s">
        <v>37</v>
      </c>
      <c r="KC21" s="1">
        <v>101673.3</v>
      </c>
      <c r="KD21" s="1">
        <v>9443218.3000000007</v>
      </c>
      <c r="KE21" s="1">
        <v>1.07668060580575E-2</v>
      </c>
      <c r="KF21" s="1"/>
      <c r="KG21" s="22">
        <v>7050</v>
      </c>
      <c r="KH21" s="1" t="s">
        <v>51</v>
      </c>
      <c r="KI21" s="1">
        <v>2018</v>
      </c>
      <c r="KJ21" s="1" t="s">
        <v>37</v>
      </c>
      <c r="KK21" s="1">
        <v>54106.7</v>
      </c>
      <c r="KL21" s="1">
        <v>4803387.8</v>
      </c>
      <c r="KM21" s="1">
        <v>1.1264278932465101E-2</v>
      </c>
      <c r="KN21" s="1"/>
      <c r="KO21" s="22">
        <v>8246</v>
      </c>
      <c r="KP21" s="1" t="s">
        <v>57</v>
      </c>
      <c r="KQ21" s="1">
        <v>2018</v>
      </c>
      <c r="KR21" s="1" t="s">
        <v>37</v>
      </c>
      <c r="KS21" s="1">
        <v>127315.7</v>
      </c>
      <c r="KT21" s="1">
        <v>11172914.4</v>
      </c>
      <c r="KU21" s="1">
        <v>1.13950304676101E-2</v>
      </c>
      <c r="KV21" s="1"/>
      <c r="KW21" s="22">
        <v>1116</v>
      </c>
      <c r="KX21" s="1" t="s">
        <v>17</v>
      </c>
      <c r="KY21" s="1">
        <v>2019</v>
      </c>
      <c r="KZ21" s="1" t="s">
        <v>37</v>
      </c>
      <c r="LA21" s="1">
        <v>24765.7</v>
      </c>
      <c r="LB21" s="1">
        <v>3955328</v>
      </c>
      <c r="LC21" s="1">
        <v>6.2613517766415003E-3</v>
      </c>
      <c r="LD21" s="1"/>
      <c r="LE21" s="22">
        <v>2312</v>
      </c>
      <c r="LF21" s="1" t="s">
        <v>61</v>
      </c>
      <c r="LG21" s="1">
        <v>2019</v>
      </c>
      <c r="LH21" s="1" t="s">
        <v>37</v>
      </c>
      <c r="LI21" s="1">
        <v>250125.4</v>
      </c>
      <c r="LJ21" s="1">
        <v>48356774.5</v>
      </c>
      <c r="LK21" s="1">
        <v>5.1724996670321002E-3</v>
      </c>
      <c r="LL21" s="1"/>
      <c r="LM21" s="22">
        <v>3508</v>
      </c>
      <c r="LN21" s="1" t="s">
        <v>44</v>
      </c>
      <c r="LO21" s="1">
        <v>2019</v>
      </c>
      <c r="LP21" s="1" t="s">
        <v>37</v>
      </c>
      <c r="LQ21" s="1">
        <v>29652.3</v>
      </c>
      <c r="LR21" s="1">
        <v>6269787.0999999996</v>
      </c>
      <c r="LS21" s="1">
        <v>4.7293950379910001E-3</v>
      </c>
      <c r="LT21" s="1"/>
      <c r="LU21" s="22">
        <v>4704</v>
      </c>
      <c r="LV21" s="1" t="s">
        <v>38</v>
      </c>
      <c r="LW21" s="1">
        <v>2019</v>
      </c>
      <c r="LX21" s="1" t="s">
        <v>37</v>
      </c>
      <c r="LY21" s="1">
        <v>33040.400000000001</v>
      </c>
      <c r="LZ21" s="1">
        <v>6182094.5</v>
      </c>
      <c r="MA21" s="1">
        <v>5.3445316955281E-3</v>
      </c>
      <c r="MB21" s="1"/>
      <c r="MC21" s="22">
        <v>5900</v>
      </c>
      <c r="MD21" s="1" t="s">
        <v>31</v>
      </c>
      <c r="ME21" s="1">
        <v>2019</v>
      </c>
      <c r="MF21" s="1" t="s">
        <v>37</v>
      </c>
      <c r="MG21" s="1">
        <v>95198.9</v>
      </c>
      <c r="MH21" s="1">
        <v>9237079</v>
      </c>
      <c r="MI21" s="1">
        <v>1.03061692987577E-2</v>
      </c>
      <c r="MJ21" s="1"/>
      <c r="MK21" s="22">
        <v>7096</v>
      </c>
      <c r="ML21" s="1" t="s">
        <v>51</v>
      </c>
      <c r="MM21" s="1">
        <v>2019</v>
      </c>
      <c r="MN21" s="1" t="s">
        <v>37</v>
      </c>
      <c r="MO21" s="1">
        <v>50671.3</v>
      </c>
      <c r="MP21" s="1">
        <v>4608662</v>
      </c>
      <c r="MQ21" s="1">
        <v>1.0994796320493799E-2</v>
      </c>
      <c r="MR21" s="1"/>
      <c r="MS21" s="22">
        <v>8292</v>
      </c>
      <c r="MT21" s="1" t="s">
        <v>57</v>
      </c>
      <c r="MU21" s="1">
        <v>2019</v>
      </c>
      <c r="MV21" s="1" t="s">
        <v>37</v>
      </c>
      <c r="MW21" s="1">
        <v>128542.3</v>
      </c>
      <c r="MX21" s="1">
        <v>11338077</v>
      </c>
      <c r="MY21" s="1">
        <v>1.1337222352608801E-2</v>
      </c>
      <c r="MZ21" s="1"/>
      <c r="NA21" s="22">
        <v>1162</v>
      </c>
      <c r="NB21" s="1" t="s">
        <v>17</v>
      </c>
      <c r="NC21" s="1">
        <v>2020</v>
      </c>
      <c r="ND21" s="1" t="s">
        <v>37</v>
      </c>
      <c r="NE21" s="1">
        <v>23015.1</v>
      </c>
      <c r="NF21" s="1">
        <v>3784752.3</v>
      </c>
      <c r="NG21" s="1">
        <v>6.0810056182539996E-3</v>
      </c>
      <c r="NH21" s="1"/>
      <c r="NI21" s="22">
        <v>2358</v>
      </c>
      <c r="NJ21" s="1" t="s">
        <v>61</v>
      </c>
      <c r="NK21" s="1">
        <v>2020</v>
      </c>
      <c r="NL21" s="1" t="s">
        <v>37</v>
      </c>
      <c r="NM21" s="1">
        <v>236308.1</v>
      </c>
      <c r="NN21" s="1">
        <v>47421769.399999999</v>
      </c>
      <c r="NO21" s="1">
        <v>4.9831143584448002E-3</v>
      </c>
      <c r="NP21" s="1"/>
      <c r="NQ21" s="22">
        <v>3554</v>
      </c>
      <c r="NR21" s="1" t="s">
        <v>44</v>
      </c>
      <c r="NS21" s="1">
        <v>2020</v>
      </c>
      <c r="NT21" s="1" t="s">
        <v>37</v>
      </c>
      <c r="NU21" s="1">
        <v>27114.1</v>
      </c>
      <c r="NV21" s="1">
        <v>5955345.3666666672</v>
      </c>
      <c r="NW21" s="1">
        <v>4.5529013567815997E-3</v>
      </c>
      <c r="NX21" s="1"/>
      <c r="NY21" s="22">
        <v>4750</v>
      </c>
      <c r="NZ21" s="1" t="s">
        <v>38</v>
      </c>
      <c r="OA21" s="1">
        <v>2020</v>
      </c>
      <c r="OB21" s="1" t="s">
        <v>37</v>
      </c>
      <c r="OC21" s="1">
        <v>30373.1</v>
      </c>
      <c r="OD21" s="1">
        <v>5990228.4000000004</v>
      </c>
      <c r="OE21" s="1">
        <v>5.0704410536331996E-3</v>
      </c>
      <c r="OF21" s="1"/>
      <c r="OG21" s="22">
        <v>5946</v>
      </c>
      <c r="OH21" s="1" t="s">
        <v>31</v>
      </c>
      <c r="OI21" s="1">
        <v>2020</v>
      </c>
      <c r="OJ21" s="1" t="s">
        <v>37</v>
      </c>
      <c r="OK21" s="1">
        <v>90396.2</v>
      </c>
      <c r="OL21" s="1">
        <v>9257180.0999999996</v>
      </c>
      <c r="OM21" s="1">
        <v>9.7649823189676997E-3</v>
      </c>
      <c r="ON21" s="1"/>
      <c r="OO21" s="22">
        <v>7142</v>
      </c>
      <c r="OP21" s="1" t="s">
        <v>51</v>
      </c>
      <c r="OQ21" s="1">
        <v>2020</v>
      </c>
      <c r="OR21" s="1" t="s">
        <v>37</v>
      </c>
      <c r="OS21" s="1">
        <v>50035.3</v>
      </c>
      <c r="OT21" s="1">
        <v>4352046.4000000004</v>
      </c>
      <c r="OU21" s="1">
        <v>1.14969592235965E-2</v>
      </c>
      <c r="OV21" s="1"/>
      <c r="OW21" s="22">
        <v>8338</v>
      </c>
      <c r="OX21" s="1" t="s">
        <v>57</v>
      </c>
      <c r="OY21" s="1">
        <v>2020</v>
      </c>
      <c r="OZ21" s="1" t="s">
        <v>37</v>
      </c>
      <c r="PA21" s="1">
        <v>115624.6</v>
      </c>
      <c r="PB21" s="1">
        <v>11082248.733333331</v>
      </c>
      <c r="PC21" s="1">
        <v>1.04333157269988E-2</v>
      </c>
      <c r="PD21" s="1"/>
      <c r="PE21" s="22">
        <v>8384</v>
      </c>
      <c r="PF21" s="1" t="s">
        <v>17</v>
      </c>
      <c r="PG21" s="1">
        <v>2021</v>
      </c>
      <c r="PH21" s="1" t="s">
        <v>37</v>
      </c>
      <c r="PI21" s="1">
        <v>28112.484259035249</v>
      </c>
      <c r="PJ21" s="1">
        <v>4622999.2247741111</v>
      </c>
      <c r="PK21" s="1">
        <v>6.0810056182539996E-3</v>
      </c>
      <c r="PL21" s="1"/>
      <c r="PM21" s="22">
        <v>9304</v>
      </c>
      <c r="PN21" s="1" t="s">
        <v>61</v>
      </c>
      <c r="PO21" s="1">
        <v>2021</v>
      </c>
      <c r="PP21" s="1" t="s">
        <v>37</v>
      </c>
      <c r="PQ21" s="1">
        <v>262060.18412014359</v>
      </c>
      <c r="PR21" s="1">
        <v>52589638.782026872</v>
      </c>
      <c r="PS21" s="1">
        <v>4.9831143584448002E-3</v>
      </c>
      <c r="PT21" s="1"/>
      <c r="PU21" s="22">
        <v>10224</v>
      </c>
      <c r="PV21" s="1" t="s">
        <v>44</v>
      </c>
      <c r="PW21" s="1">
        <v>2021</v>
      </c>
      <c r="PX21" s="1" t="s">
        <v>37</v>
      </c>
      <c r="PY21" s="1">
        <v>31603.724742841088</v>
      </c>
      <c r="PZ21" s="1">
        <v>6941447.2808129201</v>
      </c>
      <c r="QA21" s="1">
        <v>4.5529013567815997E-3</v>
      </c>
      <c r="QB21" s="1"/>
      <c r="QC21" s="22">
        <v>11144</v>
      </c>
      <c r="QD21" s="1" t="s">
        <v>38</v>
      </c>
      <c r="QE21" s="1">
        <v>2021</v>
      </c>
      <c r="QF21" s="1" t="s">
        <v>37</v>
      </c>
      <c r="QG21" s="1">
        <v>34026.45652755117</v>
      </c>
      <c r="QH21" s="1">
        <v>6710748.8614170318</v>
      </c>
      <c r="QI21" s="1">
        <v>5.0704410536331996E-3</v>
      </c>
      <c r="QJ21" s="1"/>
      <c r="QK21" s="22">
        <v>12064</v>
      </c>
      <c r="QL21" s="1" t="s">
        <v>31</v>
      </c>
      <c r="QM21" s="1">
        <v>2021</v>
      </c>
      <c r="QN21" s="1" t="s">
        <v>37</v>
      </c>
      <c r="QO21" s="1">
        <v>99760.3629464939</v>
      </c>
      <c r="QP21" s="1">
        <v>10216133.49495957</v>
      </c>
      <c r="QQ21" s="1">
        <v>9.7649823189676997E-3</v>
      </c>
      <c r="QR21" s="1"/>
      <c r="QS21" s="22">
        <v>12984</v>
      </c>
      <c r="QT21" s="1" t="s">
        <v>51</v>
      </c>
      <c r="QU21" s="1">
        <v>2021</v>
      </c>
      <c r="QV21" s="1" t="s">
        <v>37</v>
      </c>
      <c r="QW21" s="1">
        <v>57163.076998448152</v>
      </c>
      <c r="QX21" s="1">
        <v>4972017.0252605537</v>
      </c>
      <c r="QY21" s="1">
        <v>1.14969592235965E-2</v>
      </c>
      <c r="QZ21" s="1"/>
      <c r="RA21" s="22">
        <v>13904</v>
      </c>
      <c r="RB21" s="1" t="s">
        <v>57</v>
      </c>
      <c r="RC21" s="1">
        <v>2021</v>
      </c>
      <c r="RD21" s="1" t="s">
        <v>37</v>
      </c>
      <c r="RE21" s="1">
        <v>115283.26736471721</v>
      </c>
      <c r="RF21" s="1">
        <v>11049533.09007922</v>
      </c>
      <c r="RG21" s="1">
        <v>1.04333157269988E-2</v>
      </c>
      <c r="RH21" s="1"/>
      <c r="RI21" s="22">
        <v>8430</v>
      </c>
      <c r="RJ21" s="1" t="s">
        <v>17</v>
      </c>
      <c r="RK21" s="1">
        <v>2022</v>
      </c>
      <c r="RL21" s="1" t="s">
        <v>37</v>
      </c>
      <c r="RM21" s="1">
        <v>30448.217766113889</v>
      </c>
      <c r="RN21" s="1">
        <v>5007102.3902221443</v>
      </c>
      <c r="RO21" s="1">
        <v>6.0810056182539996E-3</v>
      </c>
      <c r="RP21" s="1"/>
      <c r="RQ21" s="22">
        <v>9350</v>
      </c>
      <c r="RR21" s="1" t="s">
        <v>61</v>
      </c>
      <c r="RS21" s="1">
        <v>2022</v>
      </c>
      <c r="RT21" s="1" t="s">
        <v>37</v>
      </c>
      <c r="RU21" s="1">
        <v>287796.77560234122</v>
      </c>
      <c r="RV21" s="1">
        <v>57754399.13688051</v>
      </c>
      <c r="RW21" s="1">
        <v>4.9831143584448002E-3</v>
      </c>
      <c r="RX21" s="1"/>
      <c r="RY21" s="22">
        <v>10270</v>
      </c>
      <c r="RZ21" s="1" t="s">
        <v>44</v>
      </c>
      <c r="SA21" s="1">
        <v>2022</v>
      </c>
      <c r="SB21" s="1" t="s">
        <v>37</v>
      </c>
      <c r="SC21" s="1">
        <v>31309.336306261172</v>
      </c>
      <c r="SD21" s="1">
        <v>6876787.7563667288</v>
      </c>
      <c r="SE21" s="1">
        <v>4.5529013567815997E-3</v>
      </c>
      <c r="SF21" s="1"/>
      <c r="SG21" s="22">
        <v>11190</v>
      </c>
      <c r="SH21" s="1" t="s">
        <v>38</v>
      </c>
      <c r="SI21" s="1">
        <v>2022</v>
      </c>
      <c r="SJ21" s="1" t="s">
        <v>37</v>
      </c>
      <c r="SK21" s="1">
        <v>32074.979145973892</v>
      </c>
      <c r="SL21" s="1">
        <v>6325875.5612572851</v>
      </c>
      <c r="SM21" s="1">
        <v>5.0704410536331996E-3</v>
      </c>
      <c r="SN21" s="1"/>
      <c r="SO21" s="22">
        <v>12110</v>
      </c>
      <c r="SP21" s="1" t="s">
        <v>31</v>
      </c>
      <c r="SQ21" s="1">
        <v>2022</v>
      </c>
      <c r="SR21" s="1" t="s">
        <v>37</v>
      </c>
      <c r="SS21" s="1">
        <v>95522.904851096275</v>
      </c>
      <c r="ST21" s="1">
        <v>9782189.227885304</v>
      </c>
      <c r="SU21" s="1">
        <v>9.7649823189676997E-3</v>
      </c>
      <c r="SV21" s="1"/>
      <c r="SW21" s="22">
        <v>13030</v>
      </c>
      <c r="SX21" s="1" t="s">
        <v>51</v>
      </c>
      <c r="SY21" s="1">
        <v>2022</v>
      </c>
      <c r="SZ21" s="1" t="s">
        <v>37</v>
      </c>
      <c r="TA21" s="1">
        <v>55192.072090401933</v>
      </c>
      <c r="TB21" s="1">
        <v>4800579.963537232</v>
      </c>
      <c r="TC21" s="1">
        <v>1.14969592235965E-2</v>
      </c>
      <c r="TD21" s="1"/>
      <c r="TE21" s="22">
        <v>13950</v>
      </c>
      <c r="TF21" s="1" t="s">
        <v>57</v>
      </c>
      <c r="TG21" s="1">
        <v>2022</v>
      </c>
      <c r="TH21" s="1" t="s">
        <v>37</v>
      </c>
      <c r="TI21" s="1">
        <v>97514.524435948959</v>
      </c>
      <c r="TJ21" s="1">
        <v>9346455.8140041605</v>
      </c>
      <c r="TK21" s="1">
        <v>1.04333157269988E-2</v>
      </c>
      <c r="TL21" s="1"/>
      <c r="TM21" s="22">
        <v>8476</v>
      </c>
      <c r="TN21" s="1" t="s">
        <v>17</v>
      </c>
      <c r="TO21" s="1">
        <v>2023</v>
      </c>
      <c r="TP21" s="1" t="s">
        <v>37</v>
      </c>
      <c r="TQ21" s="1">
        <v>30210.932930276049</v>
      </c>
      <c r="TR21" s="1">
        <v>4968081.7329930915</v>
      </c>
      <c r="TS21" s="1">
        <v>6.0810056182539996E-3</v>
      </c>
      <c r="TT21" s="1"/>
      <c r="TU21" s="22">
        <v>9396</v>
      </c>
      <c r="TV21" s="1" t="s">
        <v>61</v>
      </c>
      <c r="TW21" s="1">
        <v>2023</v>
      </c>
      <c r="TX21" s="1" t="s">
        <v>37</v>
      </c>
      <c r="TY21" s="1">
        <v>306761.97768437688</v>
      </c>
      <c r="TZ21" s="1">
        <v>61560292.543660469</v>
      </c>
      <c r="UA21" s="1">
        <v>4.9831143584448002E-3</v>
      </c>
      <c r="UB21" s="1"/>
      <c r="UC21" s="22">
        <v>10316</v>
      </c>
      <c r="UD21" s="1" t="s">
        <v>44</v>
      </c>
      <c r="UE21" s="1">
        <v>2023</v>
      </c>
      <c r="UF21" s="1" t="s">
        <v>37</v>
      </c>
      <c r="UG21" s="1">
        <v>33881.414511379837</v>
      </c>
      <c r="UH21" s="1">
        <v>7441719.4347760417</v>
      </c>
      <c r="UI21" s="1">
        <v>4.5529013567815997E-3</v>
      </c>
      <c r="UJ21" s="1"/>
      <c r="UK21" s="22">
        <v>11236</v>
      </c>
      <c r="UL21" s="1" t="s">
        <v>38</v>
      </c>
      <c r="UM21" s="1">
        <v>2023</v>
      </c>
      <c r="UN21" s="1" t="s">
        <v>37</v>
      </c>
      <c r="UO21" s="1">
        <v>35006.037838235352</v>
      </c>
      <c r="UP21" s="1">
        <v>6903943.3587640161</v>
      </c>
      <c r="UQ21" s="1">
        <v>5.0704410536331996E-3</v>
      </c>
      <c r="UR21" s="1"/>
      <c r="US21" s="22">
        <v>12156</v>
      </c>
      <c r="UT21" s="1" t="s">
        <v>31</v>
      </c>
      <c r="UU21" s="1">
        <v>2023</v>
      </c>
      <c r="UV21" s="1" t="s">
        <v>37</v>
      </c>
      <c r="UW21" s="1">
        <v>103830.34164775829</v>
      </c>
      <c r="UX21" s="1">
        <v>10632926.743356841</v>
      </c>
      <c r="UY21" s="1">
        <v>9.7649823189676997E-3</v>
      </c>
      <c r="UZ21" s="1"/>
      <c r="VA21" s="22">
        <v>13076</v>
      </c>
      <c r="VB21" s="1" t="s">
        <v>51</v>
      </c>
      <c r="VC21" s="1">
        <v>2023</v>
      </c>
      <c r="VD21" s="1" t="s">
        <v>37</v>
      </c>
      <c r="VE21" s="1">
        <v>60452.457028645047</v>
      </c>
      <c r="VF21" s="1">
        <v>5258125.7228930313</v>
      </c>
      <c r="VG21" s="1">
        <v>1.14969592235965E-2</v>
      </c>
      <c r="VH21" s="1"/>
      <c r="VI21" s="22">
        <v>13996</v>
      </c>
      <c r="VJ21" s="1" t="s">
        <v>57</v>
      </c>
      <c r="VK21" s="1">
        <v>2023</v>
      </c>
      <c r="VL21" s="1" t="s">
        <v>37</v>
      </c>
      <c r="VM21" s="1">
        <v>96386.891353304687</v>
      </c>
      <c r="VN21" s="1">
        <v>9238375.7834414635</v>
      </c>
      <c r="VO21" s="1">
        <v>1.04333157269988E-2</v>
      </c>
      <c r="VP21" s="1"/>
      <c r="VQ21" s="22">
        <v>8522</v>
      </c>
      <c r="VR21" s="1" t="s">
        <v>17</v>
      </c>
      <c r="VS21" s="1">
        <v>2024</v>
      </c>
      <c r="VT21" s="1" t="s">
        <v>37</v>
      </c>
      <c r="VU21" s="1">
        <v>31154.929017080249</v>
      </c>
      <c r="VV21" s="1">
        <v>5123318.5714479852</v>
      </c>
      <c r="VW21" s="1">
        <v>6.0810056182539996E-3</v>
      </c>
      <c r="VX21" s="1"/>
      <c r="VY21" s="22">
        <v>9442</v>
      </c>
      <c r="VZ21" s="1" t="s">
        <v>61</v>
      </c>
      <c r="WA21" s="1">
        <v>2024</v>
      </c>
      <c r="WB21" s="1" t="s">
        <v>37</v>
      </c>
      <c r="WC21" s="1">
        <v>322965.06374372839</v>
      </c>
      <c r="WD21" s="1">
        <v>64811890.820126347</v>
      </c>
      <c r="WE21" s="1">
        <v>4.9831143584448002E-3</v>
      </c>
      <c r="WF21" s="1"/>
      <c r="WG21" s="22">
        <v>10362</v>
      </c>
      <c r="WH21" s="1" t="s">
        <v>44</v>
      </c>
      <c r="WI21" s="1">
        <v>2024</v>
      </c>
      <c r="WJ21" s="1" t="s">
        <v>37</v>
      </c>
      <c r="WK21" s="1">
        <v>36635.977351878479</v>
      </c>
      <c r="WL21" s="1">
        <v>8046732.0684004631</v>
      </c>
      <c r="WM21" s="1">
        <v>4.5529013567815997E-3</v>
      </c>
      <c r="WN21" s="1"/>
      <c r="WO21" s="22">
        <v>11282</v>
      </c>
      <c r="WP21" s="1" t="s">
        <v>38</v>
      </c>
      <c r="WQ21" s="1">
        <v>2024</v>
      </c>
      <c r="WR21" s="1" t="s">
        <v>37</v>
      </c>
      <c r="WS21" s="1">
        <v>36270.661251618607</v>
      </c>
      <c r="WT21" s="1">
        <v>7153354.2877160665</v>
      </c>
      <c r="WU21" s="1">
        <v>5.0704410536331996E-3</v>
      </c>
      <c r="WV21" s="1"/>
      <c r="WW21" s="22">
        <v>12202</v>
      </c>
      <c r="WX21" s="1" t="s">
        <v>31</v>
      </c>
      <c r="WY21" s="1">
        <v>2024</v>
      </c>
      <c r="WZ21" s="1" t="s">
        <v>37</v>
      </c>
      <c r="XA21" s="1">
        <v>106909.89768536099</v>
      </c>
      <c r="XB21" s="1">
        <v>10948294.03609846</v>
      </c>
      <c r="XC21" s="1">
        <v>9.7649823189676997E-3</v>
      </c>
      <c r="XD21" s="1"/>
      <c r="XE21" s="22">
        <v>13122</v>
      </c>
      <c r="XF21" s="1" t="s">
        <v>51</v>
      </c>
      <c r="XG21" s="1">
        <v>2024</v>
      </c>
      <c r="XH21" s="1" t="s">
        <v>37</v>
      </c>
      <c r="XI21" s="1">
        <v>62240.368853670741</v>
      </c>
      <c r="XJ21" s="1">
        <v>5413637.436055948</v>
      </c>
      <c r="XK21" s="1">
        <v>1.14969592235965E-2</v>
      </c>
      <c r="XL21" s="1"/>
      <c r="XM21" s="22">
        <v>14042</v>
      </c>
      <c r="XN21" s="1" t="s">
        <v>57</v>
      </c>
      <c r="XO21" s="1">
        <v>2024</v>
      </c>
      <c r="XP21" s="1" t="s">
        <v>37</v>
      </c>
      <c r="XQ21" s="1">
        <v>92109.70975194186</v>
      </c>
      <c r="XR21" s="1">
        <v>8828421.583522588</v>
      </c>
      <c r="XS21" s="1">
        <v>1.04333157269988E-2</v>
      </c>
      <c r="XT21" s="1"/>
    </row>
    <row r="22" spans="1:644" x14ac:dyDescent="0.25">
      <c r="A22" s="2">
        <v>13</v>
      </c>
      <c r="B22" s="1" t="s">
        <v>17</v>
      </c>
      <c r="C22" s="1" t="s">
        <v>39</v>
      </c>
      <c r="D22" s="1">
        <v>4.8067425798189308E-3</v>
      </c>
      <c r="E22" s="1">
        <v>4.6798238648570693E-3</v>
      </c>
      <c r="F22" s="1">
        <v>4.6837694790130063E-3</v>
      </c>
      <c r="G22" s="1">
        <v>4.7707155522213884E-3</v>
      </c>
      <c r="H22" s="1">
        <v>4.8405223815568884E-3</v>
      </c>
      <c r="I22" s="1">
        <v>4.9706876395585907E-3</v>
      </c>
      <c r="J22" s="1">
        <v>4.7607871194106947E-3</v>
      </c>
      <c r="K22" s="1">
        <v>4.7607871194106097E-3</v>
      </c>
      <c r="L22" s="1">
        <v>4.7607871194106097E-3</v>
      </c>
      <c r="M22" s="1">
        <v>4.7607871194106106E-3</v>
      </c>
      <c r="N22" s="1">
        <v>4.7607871194106106E-3</v>
      </c>
      <c r="O22" s="1">
        <v>4.7778360994617276E-3</v>
      </c>
      <c r="P22" s="1"/>
      <c r="Q22" s="2">
        <v>117</v>
      </c>
      <c r="R22" s="1" t="s">
        <v>38</v>
      </c>
      <c r="S22" s="17" t="s">
        <v>21</v>
      </c>
      <c r="T22" s="17">
        <v>8.1408810610478971E-2</v>
      </c>
      <c r="U22" s="1"/>
      <c r="V22" t="s">
        <v>31</v>
      </c>
      <c r="W22">
        <f>SUM(O71+O80+O88+O89+O90+O93)</f>
        <v>0.16340716490884502</v>
      </c>
      <c r="AC22" s="22">
        <v>887</v>
      </c>
      <c r="AD22" s="1" t="s">
        <v>17</v>
      </c>
      <c r="AE22" s="1">
        <v>2014</v>
      </c>
      <c r="AF22" s="1" t="s">
        <v>39</v>
      </c>
      <c r="AG22" s="1">
        <v>19651</v>
      </c>
      <c r="AH22" s="1">
        <v>4088215.6</v>
      </c>
      <c r="AI22" s="1">
        <v>4.8067425798188996E-3</v>
      </c>
      <c r="AJ22" s="1"/>
      <c r="AK22" s="22">
        <v>2083</v>
      </c>
      <c r="AL22" s="1" t="s">
        <v>61</v>
      </c>
      <c r="AM22" s="1">
        <v>2014</v>
      </c>
      <c r="AN22" s="1" t="s">
        <v>39</v>
      </c>
      <c r="AO22" s="1">
        <v>135842.70000000001</v>
      </c>
      <c r="AP22" s="1">
        <v>40350049.200000003</v>
      </c>
      <c r="AQ22" s="1">
        <v>3.3666055604214002E-3</v>
      </c>
      <c r="AR22" s="1"/>
      <c r="AS22" s="22">
        <v>3279</v>
      </c>
      <c r="AT22" s="1" t="s">
        <v>44</v>
      </c>
      <c r="AU22" s="1">
        <v>2014</v>
      </c>
      <c r="AV22" s="1" t="s">
        <v>39</v>
      </c>
      <c r="AW22" s="1">
        <v>22330.6</v>
      </c>
      <c r="AX22" s="1">
        <v>6735816.8000000007</v>
      </c>
      <c r="AY22" s="1">
        <v>3.3152029906750998E-3</v>
      </c>
      <c r="AZ22" s="1"/>
      <c r="BA22" s="22">
        <v>4475</v>
      </c>
      <c r="BB22" s="1" t="s">
        <v>38</v>
      </c>
      <c r="BC22" s="1">
        <v>2014</v>
      </c>
      <c r="BD22" s="1" t="s">
        <v>39</v>
      </c>
      <c r="BE22" s="1">
        <v>30575.5</v>
      </c>
      <c r="BF22" s="1">
        <v>6538596.7000000002</v>
      </c>
      <c r="BG22" s="1">
        <v>4.6761562767741001E-3</v>
      </c>
      <c r="BH22" s="1"/>
      <c r="BI22" s="22">
        <v>5671</v>
      </c>
      <c r="BJ22" s="1" t="s">
        <v>31</v>
      </c>
      <c r="BK22" s="1">
        <v>2014</v>
      </c>
      <c r="BL22" s="1" t="s">
        <v>39</v>
      </c>
      <c r="BM22" s="1">
        <v>60842.8</v>
      </c>
      <c r="BN22" s="1">
        <v>9155477.5</v>
      </c>
      <c r="BO22" s="1">
        <v>6.6455081124932999E-3</v>
      </c>
      <c r="BP22" s="1"/>
      <c r="BQ22" s="22">
        <v>6867</v>
      </c>
      <c r="BR22" s="1" t="s">
        <v>51</v>
      </c>
      <c r="BS22" s="1">
        <v>2014</v>
      </c>
      <c r="BT22" s="1" t="s">
        <v>39</v>
      </c>
      <c r="BU22" s="1">
        <v>39079.5</v>
      </c>
      <c r="BV22" s="1">
        <v>4981875.5</v>
      </c>
      <c r="BW22" s="1">
        <v>7.8443349296866E-3</v>
      </c>
      <c r="BX22" s="1"/>
      <c r="BY22" s="22">
        <v>8063</v>
      </c>
      <c r="BZ22" s="1" t="s">
        <v>57</v>
      </c>
      <c r="CA22" s="1">
        <v>2014</v>
      </c>
      <c r="CB22" s="1" t="s">
        <v>39</v>
      </c>
      <c r="CC22" s="1">
        <v>57055.5</v>
      </c>
      <c r="CD22" s="1">
        <v>11026913.800000001</v>
      </c>
      <c r="CE22" s="1">
        <v>5.1742038647295003E-3</v>
      </c>
      <c r="CF22" s="1"/>
      <c r="CG22" s="22">
        <v>933</v>
      </c>
      <c r="CH22" s="1" t="s">
        <v>17</v>
      </c>
      <c r="CI22" s="1">
        <v>2015</v>
      </c>
      <c r="CJ22" s="1" t="s">
        <v>39</v>
      </c>
      <c r="CK22" s="1">
        <v>16637.400000000001</v>
      </c>
      <c r="CL22" s="1">
        <v>3555133.8</v>
      </c>
      <c r="CM22" s="1">
        <v>4.6798238648569999E-3</v>
      </c>
      <c r="CN22" s="1"/>
      <c r="CO22" s="22">
        <v>2129</v>
      </c>
      <c r="CP22" s="1" t="s">
        <v>61</v>
      </c>
      <c r="CQ22" s="1">
        <v>2015</v>
      </c>
      <c r="CR22" s="1" t="s">
        <v>39</v>
      </c>
      <c r="CS22" s="1">
        <v>141396.5</v>
      </c>
      <c r="CT22" s="1">
        <v>41208556.399999999</v>
      </c>
      <c r="CU22" s="1">
        <v>3.4312412846376002E-3</v>
      </c>
      <c r="CV22" s="1"/>
      <c r="CW22" s="22">
        <v>3325</v>
      </c>
      <c r="CX22" s="1" t="s">
        <v>44</v>
      </c>
      <c r="CY22" s="1">
        <v>2015</v>
      </c>
      <c r="CZ22" s="1" t="s">
        <v>39</v>
      </c>
      <c r="DA22" s="1">
        <v>21653.4</v>
      </c>
      <c r="DB22" s="1">
        <v>6404349.4000000004</v>
      </c>
      <c r="DC22" s="1">
        <v>3.3810460122616001E-3</v>
      </c>
      <c r="DD22" s="1"/>
      <c r="DE22" s="22">
        <v>4521</v>
      </c>
      <c r="DF22" s="1" t="s">
        <v>38</v>
      </c>
      <c r="DG22" s="1">
        <v>2015</v>
      </c>
      <c r="DH22" s="1" t="s">
        <v>39</v>
      </c>
      <c r="DI22" s="1">
        <v>24500.1</v>
      </c>
      <c r="DJ22" s="1">
        <v>5531517.5999999996</v>
      </c>
      <c r="DK22" s="1">
        <v>4.4291823278298E-3</v>
      </c>
      <c r="DL22" s="1"/>
      <c r="DM22" s="22">
        <v>5717</v>
      </c>
      <c r="DN22" s="1" t="s">
        <v>31</v>
      </c>
      <c r="DO22" s="1">
        <v>2015</v>
      </c>
      <c r="DP22" s="1" t="s">
        <v>39</v>
      </c>
      <c r="DQ22" s="1">
        <v>49235.9</v>
      </c>
      <c r="DR22" s="1">
        <v>7894528</v>
      </c>
      <c r="DS22" s="1">
        <v>6.2367123151630998E-3</v>
      </c>
      <c r="DT22" s="1"/>
      <c r="DU22" s="22">
        <v>6913</v>
      </c>
      <c r="DV22" s="1" t="s">
        <v>51</v>
      </c>
      <c r="DW22" s="1">
        <v>2015</v>
      </c>
      <c r="DX22" s="1" t="s">
        <v>39</v>
      </c>
      <c r="DY22" s="1">
        <v>32873.800000000003</v>
      </c>
      <c r="DZ22" s="1">
        <v>4209274.5999999996</v>
      </c>
      <c r="EA22" s="1">
        <v>7.8098492315041004E-3</v>
      </c>
      <c r="EB22" s="1"/>
      <c r="EC22" s="22">
        <v>8109</v>
      </c>
      <c r="ED22" s="1" t="s">
        <v>57</v>
      </c>
      <c r="EE22" s="1">
        <v>2015</v>
      </c>
      <c r="EF22" s="1" t="s">
        <v>39</v>
      </c>
      <c r="EG22" s="1">
        <v>50205</v>
      </c>
      <c r="EH22" s="1">
        <v>9729477.0999999996</v>
      </c>
      <c r="EI22" s="1">
        <v>5.1600923136968999E-3</v>
      </c>
      <c r="EJ22" s="1"/>
      <c r="EK22" s="22">
        <v>979</v>
      </c>
      <c r="EL22" s="1" t="s">
        <v>17</v>
      </c>
      <c r="EM22" s="1">
        <v>2016</v>
      </c>
      <c r="EN22" s="1" t="s">
        <v>39</v>
      </c>
      <c r="EO22" s="1">
        <v>16221.8</v>
      </c>
      <c r="EP22" s="1">
        <v>3463407</v>
      </c>
      <c r="EQ22" s="1">
        <v>4.6837694790130002E-3</v>
      </c>
      <c r="ER22" s="1"/>
      <c r="ES22" s="22">
        <v>2175</v>
      </c>
      <c r="ET22" s="1" t="s">
        <v>61</v>
      </c>
      <c r="EU22" s="1">
        <v>2016</v>
      </c>
      <c r="EV22" s="1" t="s">
        <v>39</v>
      </c>
      <c r="EW22" s="1">
        <v>146681.4</v>
      </c>
      <c r="EX22" s="1">
        <v>42141395.200000003</v>
      </c>
      <c r="EY22" s="1">
        <v>3.4806963391662E-3</v>
      </c>
      <c r="EZ22" s="1"/>
      <c r="FA22" s="22">
        <v>3371</v>
      </c>
      <c r="FB22" s="1" t="s">
        <v>44</v>
      </c>
      <c r="FC22" s="1">
        <v>2016</v>
      </c>
      <c r="FD22" s="1" t="s">
        <v>39</v>
      </c>
      <c r="FE22" s="1">
        <v>19613.3</v>
      </c>
      <c r="FF22" s="1">
        <v>5868597.7999999998</v>
      </c>
      <c r="FG22" s="1">
        <v>3.3420760236796999E-3</v>
      </c>
      <c r="FH22" s="1"/>
      <c r="FI22" s="22">
        <v>4567</v>
      </c>
      <c r="FJ22" s="1" t="s">
        <v>38</v>
      </c>
      <c r="FK22" s="1">
        <v>2016</v>
      </c>
      <c r="FL22" s="1" t="s">
        <v>39</v>
      </c>
      <c r="FM22" s="1">
        <v>24796.5</v>
      </c>
      <c r="FN22" s="1">
        <v>5582986.5</v>
      </c>
      <c r="FO22" s="1">
        <v>4.4414400787105004E-3</v>
      </c>
      <c r="FP22" s="1"/>
      <c r="FQ22" s="22">
        <v>5763</v>
      </c>
      <c r="FR22" s="1" t="s">
        <v>31</v>
      </c>
      <c r="FS22" s="1">
        <v>2016</v>
      </c>
      <c r="FT22" s="1" t="s">
        <v>39</v>
      </c>
      <c r="FU22" s="1">
        <v>51018</v>
      </c>
      <c r="FV22" s="1">
        <v>8130820.9000000004</v>
      </c>
      <c r="FW22" s="1">
        <v>6.2746431913165996E-3</v>
      </c>
      <c r="FX22" s="1"/>
      <c r="FY22" s="22">
        <v>6959</v>
      </c>
      <c r="FZ22" s="1" t="s">
        <v>51</v>
      </c>
      <c r="GA22" s="1">
        <v>2016</v>
      </c>
      <c r="GB22" s="1" t="s">
        <v>39</v>
      </c>
      <c r="GC22" s="1">
        <v>32636.3</v>
      </c>
      <c r="GD22" s="1">
        <v>4230502.5999999996</v>
      </c>
      <c r="GE22" s="1">
        <v>7.7145207285772002E-3</v>
      </c>
      <c r="GF22" s="1"/>
      <c r="GG22" s="22">
        <v>8155</v>
      </c>
      <c r="GH22" s="1" t="s">
        <v>57</v>
      </c>
      <c r="GI22" s="1">
        <v>2016</v>
      </c>
      <c r="GJ22" s="1" t="s">
        <v>39</v>
      </c>
      <c r="GK22" s="1">
        <v>52753</v>
      </c>
      <c r="GL22" s="1">
        <v>10773649.5</v>
      </c>
      <c r="GM22" s="1">
        <v>4.8964837773865996E-3</v>
      </c>
      <c r="GN22" s="1"/>
      <c r="GO22" s="22">
        <v>1025</v>
      </c>
      <c r="GP22" s="1" t="s">
        <v>17</v>
      </c>
      <c r="GQ22" s="1">
        <v>2017</v>
      </c>
      <c r="GR22" s="1" t="s">
        <v>39</v>
      </c>
      <c r="GS22" s="1">
        <v>17745.8</v>
      </c>
      <c r="GT22" s="1">
        <v>3719735.5</v>
      </c>
      <c r="GU22" s="1">
        <v>4.7707155522213E-3</v>
      </c>
      <c r="GV22" s="1"/>
      <c r="GW22" s="22">
        <v>2221</v>
      </c>
      <c r="GX22" s="1" t="s">
        <v>61</v>
      </c>
      <c r="GY22" s="1">
        <v>2017</v>
      </c>
      <c r="GZ22" s="1" t="s">
        <v>39</v>
      </c>
      <c r="HA22" s="1">
        <v>150235.4</v>
      </c>
      <c r="HB22" s="1">
        <v>44107004.100000001</v>
      </c>
      <c r="HC22" s="1">
        <v>3.4061574361156002E-3</v>
      </c>
      <c r="HD22" s="1"/>
      <c r="HE22" s="22">
        <v>3417</v>
      </c>
      <c r="HF22" s="1" t="s">
        <v>44</v>
      </c>
      <c r="HG22" s="1">
        <v>2017</v>
      </c>
      <c r="HH22" s="1" t="s">
        <v>39</v>
      </c>
      <c r="HI22" s="1">
        <v>19121.5</v>
      </c>
      <c r="HJ22" s="1">
        <v>5855367.5</v>
      </c>
      <c r="HK22" s="1">
        <v>3.2656361876516999E-3</v>
      </c>
      <c r="HL22" s="1"/>
      <c r="HM22" s="22">
        <v>4613</v>
      </c>
      <c r="HN22" s="1" t="s">
        <v>38</v>
      </c>
      <c r="HO22" s="1">
        <v>2017</v>
      </c>
      <c r="HP22" s="1" t="s">
        <v>39</v>
      </c>
      <c r="HQ22" s="1">
        <v>26679.8</v>
      </c>
      <c r="HR22" s="1">
        <v>5923445.7000000002</v>
      </c>
      <c r="HS22" s="1">
        <v>4.5041013881498004E-3</v>
      </c>
      <c r="HT22" s="1"/>
      <c r="HU22" s="22">
        <v>5809</v>
      </c>
      <c r="HV22" s="1" t="s">
        <v>31</v>
      </c>
      <c r="HW22" s="1">
        <v>2017</v>
      </c>
      <c r="HX22" s="1" t="s">
        <v>39</v>
      </c>
      <c r="HY22" s="1">
        <v>54193.1</v>
      </c>
      <c r="HZ22" s="1">
        <v>8686095.3000000007</v>
      </c>
      <c r="IA22" s="1">
        <v>6.2390634834503002E-3</v>
      </c>
      <c r="IB22" s="1"/>
      <c r="IC22" s="22">
        <v>7005</v>
      </c>
      <c r="ID22" s="1" t="s">
        <v>51</v>
      </c>
      <c r="IE22" s="1">
        <v>2017</v>
      </c>
      <c r="IF22" s="1" t="s">
        <v>39</v>
      </c>
      <c r="IG22" s="1">
        <v>34039.699999999997</v>
      </c>
      <c r="IH22" s="1">
        <v>4472691.8</v>
      </c>
      <c r="II22" s="1">
        <v>7.6105623910862003E-3</v>
      </c>
      <c r="IJ22" s="1"/>
      <c r="IK22" s="22">
        <v>8201</v>
      </c>
      <c r="IL22" s="1" t="s">
        <v>57</v>
      </c>
      <c r="IM22" s="1">
        <v>2017</v>
      </c>
      <c r="IN22" s="1" t="s">
        <v>39</v>
      </c>
      <c r="IO22" s="1">
        <v>53830.9</v>
      </c>
      <c r="IP22" s="1">
        <v>10750260.5</v>
      </c>
      <c r="IQ22" s="1">
        <v>5.0074042391808999E-3</v>
      </c>
      <c r="IR22" s="1"/>
      <c r="IS22" s="22">
        <v>1071</v>
      </c>
      <c r="IT22" s="1" t="s">
        <v>17</v>
      </c>
      <c r="IU22" s="1">
        <v>2018</v>
      </c>
      <c r="IV22" s="1" t="s">
        <v>39</v>
      </c>
      <c r="IW22" s="1">
        <v>18898.2</v>
      </c>
      <c r="IX22" s="1">
        <v>3904165.4</v>
      </c>
      <c r="IY22" s="1">
        <v>4.8405223815567999E-3</v>
      </c>
      <c r="IZ22" s="1"/>
      <c r="JA22" s="22">
        <v>2267</v>
      </c>
      <c r="JB22" s="1" t="s">
        <v>61</v>
      </c>
      <c r="JC22" s="1">
        <v>2018</v>
      </c>
      <c r="JD22" s="1" t="s">
        <v>39</v>
      </c>
      <c r="JE22" s="1">
        <v>157188.5</v>
      </c>
      <c r="JF22" s="1">
        <v>46669099.200000003</v>
      </c>
      <c r="JG22" s="1">
        <v>3.3681494328049E-3</v>
      </c>
      <c r="JH22" s="1"/>
      <c r="JI22" s="22">
        <v>3463</v>
      </c>
      <c r="JJ22" s="1" t="s">
        <v>44</v>
      </c>
      <c r="JK22" s="1">
        <v>2018</v>
      </c>
      <c r="JL22" s="1" t="s">
        <v>39</v>
      </c>
      <c r="JM22" s="1">
        <v>20624.900000000001</v>
      </c>
      <c r="JN22" s="1">
        <v>6336724.7000000002</v>
      </c>
      <c r="JO22" s="1">
        <v>3.2548202701624999E-3</v>
      </c>
      <c r="JP22" s="1"/>
      <c r="JQ22" s="22">
        <v>4659</v>
      </c>
      <c r="JR22" s="1" t="s">
        <v>38</v>
      </c>
      <c r="JS22" s="1">
        <v>2018</v>
      </c>
      <c r="JT22" s="1" t="s">
        <v>39</v>
      </c>
      <c r="JU22" s="1">
        <v>28898.5</v>
      </c>
      <c r="JV22" s="1">
        <v>6390706</v>
      </c>
      <c r="JW22" s="1">
        <v>4.5219573549462998E-3</v>
      </c>
      <c r="JX22" s="1"/>
      <c r="JY22" s="22">
        <v>5855</v>
      </c>
      <c r="JZ22" s="1" t="s">
        <v>31</v>
      </c>
      <c r="KA22" s="1">
        <v>2018</v>
      </c>
      <c r="KB22" s="1" t="s">
        <v>39</v>
      </c>
      <c r="KC22" s="1">
        <v>59620.4</v>
      </c>
      <c r="KD22" s="1">
        <v>9443218.3000000007</v>
      </c>
      <c r="KE22" s="1">
        <v>6.3135679072461003E-3</v>
      </c>
      <c r="KF22" s="1"/>
      <c r="KG22" s="22">
        <v>7051</v>
      </c>
      <c r="KH22" s="1" t="s">
        <v>51</v>
      </c>
      <c r="KI22" s="1">
        <v>2018</v>
      </c>
      <c r="KJ22" s="1" t="s">
        <v>39</v>
      </c>
      <c r="KK22" s="1">
        <v>36708.400000000001</v>
      </c>
      <c r="KL22" s="1">
        <v>4803387.8</v>
      </c>
      <c r="KM22" s="1">
        <v>7.6421895396410998E-3</v>
      </c>
      <c r="KN22" s="1"/>
      <c r="KO22" s="22">
        <v>8247</v>
      </c>
      <c r="KP22" s="1" t="s">
        <v>57</v>
      </c>
      <c r="KQ22" s="1">
        <v>2018</v>
      </c>
      <c r="KR22" s="1" t="s">
        <v>39</v>
      </c>
      <c r="KS22" s="1">
        <v>56150.3</v>
      </c>
      <c r="KT22" s="1">
        <v>11172914.4</v>
      </c>
      <c r="KU22" s="1">
        <v>5.0255732738808999E-3</v>
      </c>
      <c r="KV22" s="1"/>
      <c r="KW22" s="22">
        <v>1117</v>
      </c>
      <c r="KX22" s="1" t="s">
        <v>17</v>
      </c>
      <c r="KY22" s="1">
        <v>2019</v>
      </c>
      <c r="KZ22" s="1" t="s">
        <v>39</v>
      </c>
      <c r="LA22" s="1">
        <v>19660.7</v>
      </c>
      <c r="LB22" s="1">
        <v>3955328</v>
      </c>
      <c r="LC22" s="1">
        <v>4.9706876395584996E-3</v>
      </c>
      <c r="LD22" s="1"/>
      <c r="LE22" s="22">
        <v>2313</v>
      </c>
      <c r="LF22" s="1" t="s">
        <v>61</v>
      </c>
      <c r="LG22" s="1">
        <v>2019</v>
      </c>
      <c r="LH22" s="1" t="s">
        <v>39</v>
      </c>
      <c r="LI22" s="1">
        <v>162258.29999999999</v>
      </c>
      <c r="LJ22" s="1">
        <v>48356774.5</v>
      </c>
      <c r="LK22" s="1">
        <v>3.3554409217264E-3</v>
      </c>
      <c r="LL22" s="1"/>
      <c r="LM22" s="22">
        <v>3509</v>
      </c>
      <c r="LN22" s="1" t="s">
        <v>44</v>
      </c>
      <c r="LO22" s="1">
        <v>2019</v>
      </c>
      <c r="LP22" s="1" t="s">
        <v>39</v>
      </c>
      <c r="LQ22" s="1">
        <v>20284.7</v>
      </c>
      <c r="LR22" s="1">
        <v>6269787.0999999996</v>
      </c>
      <c r="LS22" s="1">
        <v>3.2353092180753E-3</v>
      </c>
      <c r="LT22" s="1"/>
      <c r="LU22" s="22">
        <v>4705</v>
      </c>
      <c r="LV22" s="1" t="s">
        <v>38</v>
      </c>
      <c r="LW22" s="1">
        <v>2019</v>
      </c>
      <c r="LX22" s="1" t="s">
        <v>39</v>
      </c>
      <c r="LY22" s="1">
        <v>28012.799999999999</v>
      </c>
      <c r="LZ22" s="1">
        <v>6182094.5</v>
      </c>
      <c r="MA22" s="1">
        <v>4.5312798113972003E-3</v>
      </c>
      <c r="MB22" s="1"/>
      <c r="MC22" s="22">
        <v>5901</v>
      </c>
      <c r="MD22" s="1" t="s">
        <v>31</v>
      </c>
      <c r="ME22" s="1">
        <v>2019</v>
      </c>
      <c r="MF22" s="1" t="s">
        <v>39</v>
      </c>
      <c r="MG22" s="1">
        <v>57053.4</v>
      </c>
      <c r="MH22" s="1">
        <v>9237079</v>
      </c>
      <c r="MI22" s="1">
        <v>6.1765629589179997E-3</v>
      </c>
      <c r="MJ22" s="1"/>
      <c r="MK22" s="22">
        <v>7097</v>
      </c>
      <c r="ML22" s="1" t="s">
        <v>51</v>
      </c>
      <c r="MM22" s="1">
        <v>2019</v>
      </c>
      <c r="MN22" s="1" t="s">
        <v>39</v>
      </c>
      <c r="MO22" s="1">
        <v>35427.599999999999</v>
      </c>
      <c r="MP22" s="1">
        <v>4608662</v>
      </c>
      <c r="MQ22" s="1">
        <v>7.6871768856123001E-3</v>
      </c>
      <c r="MR22" s="1"/>
      <c r="MS22" s="22">
        <v>8293</v>
      </c>
      <c r="MT22" s="1" t="s">
        <v>57</v>
      </c>
      <c r="MU22" s="1">
        <v>2019</v>
      </c>
      <c r="MV22" s="1" t="s">
        <v>39</v>
      </c>
      <c r="MW22" s="1">
        <v>56210.7</v>
      </c>
      <c r="MX22" s="1">
        <v>11338077</v>
      </c>
      <c r="MY22" s="1">
        <v>4.9576925610929998E-3</v>
      </c>
      <c r="MZ22" s="1"/>
      <c r="NA22" s="22">
        <v>1163</v>
      </c>
      <c r="NB22" s="1" t="s">
        <v>17</v>
      </c>
      <c r="NC22" s="1">
        <v>2020</v>
      </c>
      <c r="ND22" s="1" t="s">
        <v>39</v>
      </c>
      <c r="NE22" s="1">
        <v>18018.400000000001</v>
      </c>
      <c r="NF22" s="1">
        <v>3784752.3</v>
      </c>
      <c r="NG22" s="1">
        <v>4.7607871194106002E-3</v>
      </c>
      <c r="NH22" s="1"/>
      <c r="NI22" s="22">
        <v>2359</v>
      </c>
      <c r="NJ22" s="1" t="s">
        <v>61</v>
      </c>
      <c r="NK22" s="1">
        <v>2020</v>
      </c>
      <c r="NL22" s="1" t="s">
        <v>39</v>
      </c>
      <c r="NM22" s="1">
        <v>160502.20000000001</v>
      </c>
      <c r="NN22" s="1">
        <v>47421769.399999999</v>
      </c>
      <c r="NO22" s="1">
        <v>3.3845679322120998E-3</v>
      </c>
      <c r="NP22" s="1"/>
      <c r="NQ22" s="22">
        <v>3555</v>
      </c>
      <c r="NR22" s="1" t="s">
        <v>44</v>
      </c>
      <c r="NS22" s="1">
        <v>2020</v>
      </c>
      <c r="NT22" s="1" t="s">
        <v>39</v>
      </c>
      <c r="NU22" s="1">
        <v>18394.900000000001</v>
      </c>
      <c r="NV22" s="1">
        <v>5955345.3666666672</v>
      </c>
      <c r="NW22" s="1">
        <v>3.0888049084374001E-3</v>
      </c>
      <c r="NX22" s="1"/>
      <c r="NY22" s="22">
        <v>4751</v>
      </c>
      <c r="NZ22" s="1" t="s">
        <v>38</v>
      </c>
      <c r="OA22" s="1">
        <v>2020</v>
      </c>
      <c r="OB22" s="1" t="s">
        <v>39</v>
      </c>
      <c r="OC22" s="1">
        <v>26551.8</v>
      </c>
      <c r="OD22" s="1">
        <v>5990228.4000000004</v>
      </c>
      <c r="OE22" s="1">
        <v>4.4325188001178E-3</v>
      </c>
      <c r="OF22" s="1"/>
      <c r="OG22" s="22">
        <v>5947</v>
      </c>
      <c r="OH22" s="1" t="s">
        <v>31</v>
      </c>
      <c r="OI22" s="1">
        <v>2020</v>
      </c>
      <c r="OJ22" s="1" t="s">
        <v>39</v>
      </c>
      <c r="OK22" s="1">
        <v>57659.199999999997</v>
      </c>
      <c r="OL22" s="1">
        <v>9257180.0999999996</v>
      </c>
      <c r="OM22" s="1">
        <v>6.2285922254012999E-3</v>
      </c>
      <c r="ON22" s="1"/>
      <c r="OO22" s="22">
        <v>7143</v>
      </c>
      <c r="OP22" s="1" t="s">
        <v>51</v>
      </c>
      <c r="OQ22" s="1">
        <v>2020</v>
      </c>
      <c r="OR22" s="1" t="s">
        <v>39</v>
      </c>
      <c r="OS22" s="1">
        <v>32743.1</v>
      </c>
      <c r="OT22" s="1">
        <v>4352046.4000000004</v>
      </c>
      <c r="OU22" s="1">
        <v>7.5236100423929E-3</v>
      </c>
      <c r="OV22" s="1"/>
      <c r="OW22" s="22">
        <v>8339</v>
      </c>
      <c r="OX22" s="1" t="s">
        <v>57</v>
      </c>
      <c r="OY22" s="1">
        <v>2020</v>
      </c>
      <c r="OZ22" s="1" t="s">
        <v>39</v>
      </c>
      <c r="PA22" s="1">
        <v>49586.8</v>
      </c>
      <c r="PB22" s="1">
        <v>11082248.733333331</v>
      </c>
      <c r="PC22" s="1">
        <v>4.4744348546203998E-3</v>
      </c>
      <c r="PD22" s="1"/>
      <c r="PE22" s="22">
        <v>8385</v>
      </c>
      <c r="PF22" s="1" t="s">
        <v>17</v>
      </c>
      <c r="PG22" s="1">
        <v>2021</v>
      </c>
      <c r="PH22" s="1" t="s">
        <v>39</v>
      </c>
      <c r="PI22" s="1">
        <v>22009.115162349779</v>
      </c>
      <c r="PJ22" s="1">
        <v>4622999.2247741111</v>
      </c>
      <c r="PK22" s="1">
        <v>4.7607871194106002E-3</v>
      </c>
      <c r="PL22" s="1"/>
      <c r="PM22" s="22">
        <v>9305</v>
      </c>
      <c r="PN22" s="1" t="s">
        <v>61</v>
      </c>
      <c r="PO22" s="1">
        <v>2021</v>
      </c>
      <c r="PP22" s="1" t="s">
        <v>39</v>
      </c>
      <c r="PQ22" s="1">
        <v>177993.2049882659</v>
      </c>
      <c r="PR22" s="1">
        <v>52589638.782026872</v>
      </c>
      <c r="PS22" s="1">
        <v>3.3845679322120998E-3</v>
      </c>
      <c r="PT22" s="1"/>
      <c r="PU22" s="22">
        <v>10225</v>
      </c>
      <c r="PV22" s="1" t="s">
        <v>44</v>
      </c>
      <c r="PW22" s="1">
        <v>2021</v>
      </c>
      <c r="PX22" s="1" t="s">
        <v>39</v>
      </c>
      <c r="PY22" s="1">
        <v>21440.776432634389</v>
      </c>
      <c r="PZ22" s="1">
        <v>6941447.2808129201</v>
      </c>
      <c r="QA22" s="1">
        <v>3.0888049084374001E-3</v>
      </c>
      <c r="QB22" s="1"/>
      <c r="QC22" s="22">
        <v>11145</v>
      </c>
      <c r="QD22" s="1" t="s">
        <v>38</v>
      </c>
      <c r="QE22" s="1">
        <v>2021</v>
      </c>
      <c r="QF22" s="1" t="s">
        <v>39</v>
      </c>
      <c r="QG22" s="1">
        <v>29745.52049110012</v>
      </c>
      <c r="QH22" s="1">
        <v>6710748.8614170318</v>
      </c>
      <c r="QI22" s="1">
        <v>4.4325188001178E-3</v>
      </c>
      <c r="QJ22" s="1"/>
      <c r="QK22" s="22">
        <v>12065</v>
      </c>
      <c r="QL22" s="1" t="s">
        <v>31</v>
      </c>
      <c r="QM22" s="1">
        <v>2021</v>
      </c>
      <c r="QN22" s="1" t="s">
        <v>39</v>
      </c>
      <c r="QO22" s="1">
        <v>63632.129660366991</v>
      </c>
      <c r="QP22" s="1">
        <v>10216133.49495957</v>
      </c>
      <c r="QQ22" s="1">
        <v>6.2285922254012999E-3</v>
      </c>
      <c r="QR22" s="1"/>
      <c r="QS22" s="22">
        <v>12985</v>
      </c>
      <c r="QT22" s="1" t="s">
        <v>51</v>
      </c>
      <c r="QU22" s="1">
        <v>2021</v>
      </c>
      <c r="QV22" s="1" t="s">
        <v>39</v>
      </c>
      <c r="QW22" s="1">
        <v>37407.517222198767</v>
      </c>
      <c r="QX22" s="1">
        <v>4972017.0252605537</v>
      </c>
      <c r="QY22" s="1">
        <v>7.5236100423929E-3</v>
      </c>
      <c r="QZ22" s="1"/>
      <c r="RA22" s="22">
        <v>13905</v>
      </c>
      <c r="RB22" s="1" t="s">
        <v>57</v>
      </c>
      <c r="RC22" s="1">
        <v>2021</v>
      </c>
      <c r="RD22" s="1" t="s">
        <v>39</v>
      </c>
      <c r="RE22" s="1">
        <v>49440.415985531901</v>
      </c>
      <c r="RF22" s="1">
        <v>11049533.09007922</v>
      </c>
      <c r="RG22" s="1">
        <v>4.4744348546203998E-3</v>
      </c>
      <c r="RH22" s="1"/>
      <c r="RI22" s="22">
        <v>8431</v>
      </c>
      <c r="RJ22" s="1" t="s">
        <v>17</v>
      </c>
      <c r="RK22" s="1">
        <v>2022</v>
      </c>
      <c r="RL22" s="1" t="s">
        <v>39</v>
      </c>
      <c r="RM22" s="1">
        <v>23837.748564939611</v>
      </c>
      <c r="RN22" s="1">
        <v>5007102.3902221443</v>
      </c>
      <c r="RO22" s="1">
        <v>4.7607871194106002E-3</v>
      </c>
      <c r="RP22" s="1"/>
      <c r="RQ22" s="22">
        <v>9351</v>
      </c>
      <c r="RR22" s="1" t="s">
        <v>61</v>
      </c>
      <c r="RS22" s="1">
        <v>2022</v>
      </c>
      <c r="RT22" s="1" t="s">
        <v>39</v>
      </c>
      <c r="RU22" s="1">
        <v>195473.687262864</v>
      </c>
      <c r="RV22" s="1">
        <v>57754399.13688051</v>
      </c>
      <c r="RW22" s="1">
        <v>3.3845679322120998E-3</v>
      </c>
      <c r="RX22" s="1"/>
      <c r="RY22" s="22">
        <v>10271</v>
      </c>
      <c r="RZ22" s="1" t="s">
        <v>44</v>
      </c>
      <c r="SA22" s="1">
        <v>2022</v>
      </c>
      <c r="SB22" s="1" t="s">
        <v>39</v>
      </c>
      <c r="SC22" s="1">
        <v>21241.055776147768</v>
      </c>
      <c r="SD22" s="1">
        <v>6876787.7563667288</v>
      </c>
      <c r="SE22" s="1">
        <v>3.0888049084374001E-3</v>
      </c>
      <c r="SF22" s="1"/>
      <c r="SG22" s="22">
        <v>11191</v>
      </c>
      <c r="SH22" s="1" t="s">
        <v>38</v>
      </c>
      <c r="SI22" s="1">
        <v>2022</v>
      </c>
      <c r="SJ22" s="1" t="s">
        <v>39</v>
      </c>
      <c r="SK22" s="1">
        <v>28039.562352478661</v>
      </c>
      <c r="SL22" s="1">
        <v>6325875.5612572851</v>
      </c>
      <c r="SM22" s="1">
        <v>4.4325188001178E-3</v>
      </c>
      <c r="SN22" s="1"/>
      <c r="SO22" s="22">
        <v>12111</v>
      </c>
      <c r="SP22" s="1" t="s">
        <v>31</v>
      </c>
      <c r="SQ22" s="1">
        <v>2022</v>
      </c>
      <c r="SR22" s="1" t="s">
        <v>39</v>
      </c>
      <c r="SS22" s="1">
        <v>60929.267772210747</v>
      </c>
      <c r="ST22" s="1">
        <v>9782189.227885304</v>
      </c>
      <c r="SU22" s="1">
        <v>6.2285922254012999E-3</v>
      </c>
      <c r="SV22" s="1"/>
      <c r="SW22" s="22">
        <v>13031</v>
      </c>
      <c r="SX22" s="1" t="s">
        <v>51</v>
      </c>
      <c r="SY22" s="1">
        <v>2022</v>
      </c>
      <c r="SZ22" s="1" t="s">
        <v>39</v>
      </c>
      <c r="TA22" s="1">
        <v>36117.691622978862</v>
      </c>
      <c r="TB22" s="1">
        <v>4800579.963537232</v>
      </c>
      <c r="TC22" s="1">
        <v>7.5236100423929E-3</v>
      </c>
      <c r="TD22" s="1"/>
      <c r="TE22" s="22">
        <v>13951</v>
      </c>
      <c r="TF22" s="1" t="s">
        <v>57</v>
      </c>
      <c r="TG22" s="1">
        <v>2022</v>
      </c>
      <c r="TH22" s="1" t="s">
        <v>39</v>
      </c>
      <c r="TI22" s="1">
        <v>41820.107661349699</v>
      </c>
      <c r="TJ22" s="1">
        <v>9346455.8140041605</v>
      </c>
      <c r="TK22" s="1">
        <v>4.4744348546203998E-3</v>
      </c>
      <c r="TL22" s="1"/>
      <c r="TM22" s="22">
        <v>8477</v>
      </c>
      <c r="TN22" s="1" t="s">
        <v>17</v>
      </c>
      <c r="TO22" s="1">
        <v>2023</v>
      </c>
      <c r="TP22" s="1" t="s">
        <v>39</v>
      </c>
      <c r="TQ22" s="1">
        <v>23651.979522612601</v>
      </c>
      <c r="TR22" s="1">
        <v>4968081.7329930915</v>
      </c>
      <c r="TS22" s="1">
        <v>4.7607871194106002E-3</v>
      </c>
      <c r="TT22" s="1"/>
      <c r="TU22" s="22">
        <v>9397</v>
      </c>
      <c r="TV22" s="1" t="s">
        <v>61</v>
      </c>
      <c r="TW22" s="1">
        <v>2023</v>
      </c>
      <c r="TX22" s="1" t="s">
        <v>39</v>
      </c>
      <c r="TY22" s="1">
        <v>208354.99204086879</v>
      </c>
      <c r="TZ22" s="1">
        <v>61560292.543660469</v>
      </c>
      <c r="UA22" s="1">
        <v>3.3845679322120998E-3</v>
      </c>
      <c r="UB22" s="1"/>
      <c r="UC22" s="22">
        <v>10317</v>
      </c>
      <c r="UD22" s="1" t="s">
        <v>44</v>
      </c>
      <c r="UE22" s="1">
        <v>2023</v>
      </c>
      <c r="UF22" s="1" t="s">
        <v>39</v>
      </c>
      <c r="UG22" s="1">
        <v>22986.019517350229</v>
      </c>
      <c r="UH22" s="1">
        <v>7441719.4347760417</v>
      </c>
      <c r="UI22" s="1">
        <v>3.0888049084374001E-3</v>
      </c>
      <c r="UJ22" s="1"/>
      <c r="UK22" s="22">
        <v>11237</v>
      </c>
      <c r="UL22" s="1" t="s">
        <v>38</v>
      </c>
      <c r="UM22" s="1">
        <v>2023</v>
      </c>
      <c r="UN22" s="1" t="s">
        <v>39</v>
      </c>
      <c r="UO22" s="1">
        <v>30601.858732669931</v>
      </c>
      <c r="UP22" s="1">
        <v>6903943.3587640161</v>
      </c>
      <c r="UQ22" s="1">
        <v>4.4325188001178E-3</v>
      </c>
      <c r="UR22" s="1"/>
      <c r="US22" s="22">
        <v>12157</v>
      </c>
      <c r="UT22" s="1" t="s">
        <v>31</v>
      </c>
      <c r="UU22" s="1">
        <v>2023</v>
      </c>
      <c r="UV22" s="1" t="s">
        <v>39</v>
      </c>
      <c r="UW22" s="1">
        <v>66228.164846933942</v>
      </c>
      <c r="UX22" s="1">
        <v>10632926.743356841</v>
      </c>
      <c r="UY22" s="1">
        <v>6.2285922254012999E-3</v>
      </c>
      <c r="UZ22" s="1"/>
      <c r="VA22" s="22">
        <v>13077</v>
      </c>
      <c r="VB22" s="1" t="s">
        <v>51</v>
      </c>
      <c r="VC22" s="1">
        <v>2023</v>
      </c>
      <c r="VD22" s="1" t="s">
        <v>39</v>
      </c>
      <c r="VE22" s="1">
        <v>39560.087492922437</v>
      </c>
      <c r="VF22" s="1">
        <v>5258125.7228930313</v>
      </c>
      <c r="VG22" s="1">
        <v>7.5236100423929E-3</v>
      </c>
      <c r="VH22" s="1"/>
      <c r="VI22" s="22">
        <v>13997</v>
      </c>
      <c r="VJ22" s="1" t="s">
        <v>57</v>
      </c>
      <c r="VK22" s="1">
        <v>2023</v>
      </c>
      <c r="VL22" s="1" t="s">
        <v>39</v>
      </c>
      <c r="VM22" s="1">
        <v>41336.510605511517</v>
      </c>
      <c r="VN22" s="1">
        <v>9238375.7834414635</v>
      </c>
      <c r="VO22" s="1">
        <v>4.4744348546203998E-3</v>
      </c>
      <c r="VP22" s="1"/>
      <c r="VQ22" s="22">
        <v>8523</v>
      </c>
      <c r="VR22" s="1" t="s">
        <v>17</v>
      </c>
      <c r="VS22" s="1">
        <v>2024</v>
      </c>
      <c r="VT22" s="1" t="s">
        <v>39</v>
      </c>
      <c r="VU22" s="1">
        <v>24391.02906358668</v>
      </c>
      <c r="VV22" s="1">
        <v>5123318.5714479852</v>
      </c>
      <c r="VW22" s="1">
        <v>4.7607871194106002E-3</v>
      </c>
      <c r="VX22" s="1"/>
      <c r="VY22" s="22">
        <v>9443</v>
      </c>
      <c r="VZ22" s="1" t="s">
        <v>61</v>
      </c>
      <c r="WA22" s="1">
        <v>2024</v>
      </c>
      <c r="WB22" s="1" t="s">
        <v>39</v>
      </c>
      <c r="WC22" s="1">
        <v>219360.24729583139</v>
      </c>
      <c r="WD22" s="1">
        <v>64811890.820126347</v>
      </c>
      <c r="WE22" s="1">
        <v>3.3845679322120998E-3</v>
      </c>
      <c r="WF22" s="1"/>
      <c r="WG22" s="22">
        <v>10363</v>
      </c>
      <c r="WH22" s="1" t="s">
        <v>44</v>
      </c>
      <c r="WI22" s="1">
        <v>2024</v>
      </c>
      <c r="WJ22" s="1" t="s">
        <v>39</v>
      </c>
      <c r="WK22" s="1">
        <v>24854.78550975598</v>
      </c>
      <c r="WL22" s="1">
        <v>8046732.0684004631</v>
      </c>
      <c r="WM22" s="1">
        <v>3.0888049084374001E-3</v>
      </c>
      <c r="WN22" s="1"/>
      <c r="WO22" s="22">
        <v>11283</v>
      </c>
      <c r="WP22" s="1" t="s">
        <v>38</v>
      </c>
      <c r="WQ22" s="1">
        <v>2024</v>
      </c>
      <c r="WR22" s="1" t="s">
        <v>39</v>
      </c>
      <c r="WS22" s="1">
        <v>31707.377364204731</v>
      </c>
      <c r="WT22" s="1">
        <v>7153354.2877160665</v>
      </c>
      <c r="WU22" s="1">
        <v>4.4325188001178E-3</v>
      </c>
      <c r="WV22" s="1"/>
      <c r="WW22" s="22">
        <v>12203</v>
      </c>
      <c r="WX22" s="1" t="s">
        <v>31</v>
      </c>
      <c r="WY22" s="1">
        <v>2024</v>
      </c>
      <c r="WZ22" s="1" t="s">
        <v>39</v>
      </c>
      <c r="XA22" s="1">
        <v>68192.459114650308</v>
      </c>
      <c r="XB22" s="1">
        <v>10948294.03609846</v>
      </c>
      <c r="XC22" s="1">
        <v>6.2285922254012999E-3</v>
      </c>
      <c r="XD22" s="1"/>
      <c r="XE22" s="22">
        <v>13123</v>
      </c>
      <c r="XF22" s="1" t="s">
        <v>51</v>
      </c>
      <c r="XG22" s="1">
        <v>2024</v>
      </c>
      <c r="XH22" s="1" t="s">
        <v>39</v>
      </c>
      <c r="XI22" s="1">
        <v>40730.096979784677</v>
      </c>
      <c r="XJ22" s="1">
        <v>5413637.436055948</v>
      </c>
      <c r="XK22" s="1">
        <v>7.5236100423929E-3</v>
      </c>
      <c r="XL22" s="1"/>
      <c r="XM22" s="22">
        <v>14043</v>
      </c>
      <c r="XN22" s="1" t="s">
        <v>57</v>
      </c>
      <c r="XO22" s="1">
        <v>2024</v>
      </c>
      <c r="XP22" s="1" t="s">
        <v>39</v>
      </c>
      <c r="XQ22" s="1">
        <v>39502.197244596493</v>
      </c>
      <c r="XR22" s="1">
        <v>8828421.583522588</v>
      </c>
      <c r="XS22" s="1">
        <v>4.4744348546203998E-3</v>
      </c>
      <c r="XT22" s="1"/>
    </row>
    <row r="23" spans="1:644" x14ac:dyDescent="0.25">
      <c r="A23" s="2">
        <v>14</v>
      </c>
      <c r="B23" s="1" t="s">
        <v>17</v>
      </c>
      <c r="C23" s="1" t="s">
        <v>40</v>
      </c>
      <c r="D23" s="1">
        <v>1.4992555676368931E-2</v>
      </c>
      <c r="E23" s="1">
        <v>1.522136803965015E-2</v>
      </c>
      <c r="F23" s="1">
        <v>1.4342004852447311E-2</v>
      </c>
      <c r="G23" s="1">
        <v>1.495805279703355E-2</v>
      </c>
      <c r="H23" s="1">
        <v>1.4973725242275851E-2</v>
      </c>
      <c r="I23" s="1">
        <v>1.4509668983204429E-2</v>
      </c>
      <c r="J23" s="1">
        <v>1.492501900322513E-2</v>
      </c>
      <c r="K23" s="1">
        <v>1.492501900322513E-2</v>
      </c>
      <c r="L23" s="1">
        <v>1.492501900322513E-2</v>
      </c>
      <c r="M23" s="1">
        <v>1.492501900322513E-2</v>
      </c>
      <c r="N23" s="1">
        <v>1.492501900322513E-2</v>
      </c>
      <c r="O23" s="1">
        <v>1.4874770055191441E-2</v>
      </c>
      <c r="P23" s="1"/>
      <c r="Q23" s="2">
        <v>125</v>
      </c>
      <c r="R23" s="1" t="s">
        <v>38</v>
      </c>
      <c r="S23" s="1" t="s">
        <v>23</v>
      </c>
      <c r="T23" s="1">
        <v>1.046811886092788E-2</v>
      </c>
      <c r="U23" s="1"/>
      <c r="V23" t="s">
        <v>38</v>
      </c>
      <c r="W23">
        <f>SUM(O117+O126+O134+O135+O136+O139)</f>
        <v>0.19543709941111476</v>
      </c>
      <c r="AC23" s="22">
        <v>888</v>
      </c>
      <c r="AD23" s="1" t="s">
        <v>17</v>
      </c>
      <c r="AE23" s="1">
        <v>2014</v>
      </c>
      <c r="AF23" s="1" t="s">
        <v>40</v>
      </c>
      <c r="AG23" s="1">
        <v>61292.800000000003</v>
      </c>
      <c r="AH23" s="1">
        <v>4088215.6</v>
      </c>
      <c r="AI23" s="1">
        <v>1.49925556763689E-2</v>
      </c>
      <c r="AJ23" s="1"/>
      <c r="AK23" s="22">
        <v>2084</v>
      </c>
      <c r="AL23" s="1" t="s">
        <v>61</v>
      </c>
      <c r="AM23" s="1">
        <v>2014</v>
      </c>
      <c r="AN23" s="1" t="s">
        <v>40</v>
      </c>
      <c r="AO23" s="1">
        <v>294864.3</v>
      </c>
      <c r="AP23" s="1">
        <v>40350049.200000003</v>
      </c>
      <c r="AQ23" s="1">
        <v>7.3076565170582001E-3</v>
      </c>
      <c r="AR23" s="1"/>
      <c r="AS23" s="22">
        <v>3280</v>
      </c>
      <c r="AT23" s="1" t="s">
        <v>44</v>
      </c>
      <c r="AU23" s="1">
        <v>2014</v>
      </c>
      <c r="AV23" s="1" t="s">
        <v>40</v>
      </c>
      <c r="AW23" s="1">
        <v>25822.3</v>
      </c>
      <c r="AX23" s="1">
        <v>6735816.8000000007</v>
      </c>
      <c r="AY23" s="1">
        <v>3.8335811033340002E-3</v>
      </c>
      <c r="AZ23" s="1"/>
      <c r="BA23" s="22">
        <v>4476</v>
      </c>
      <c r="BB23" s="1" t="s">
        <v>38</v>
      </c>
      <c r="BC23" s="1">
        <v>2014</v>
      </c>
      <c r="BD23" s="1" t="s">
        <v>40</v>
      </c>
      <c r="BE23" s="1">
        <v>43093.2</v>
      </c>
      <c r="BF23" s="1">
        <v>6538596.7000000002</v>
      </c>
      <c r="BG23" s="1">
        <v>6.5905884667881998E-3</v>
      </c>
      <c r="BH23" s="1"/>
      <c r="BI23" s="22">
        <v>5672</v>
      </c>
      <c r="BJ23" s="1" t="s">
        <v>31</v>
      </c>
      <c r="BK23" s="1">
        <v>2014</v>
      </c>
      <c r="BL23" s="1" t="s">
        <v>40</v>
      </c>
      <c r="BM23" s="1">
        <v>129349.9</v>
      </c>
      <c r="BN23" s="1">
        <v>9155477.5</v>
      </c>
      <c r="BO23" s="1">
        <v>1.4128143507534101E-2</v>
      </c>
      <c r="BP23" s="1"/>
      <c r="BQ23" s="22">
        <v>6868</v>
      </c>
      <c r="BR23" s="1" t="s">
        <v>51</v>
      </c>
      <c r="BS23" s="1">
        <v>2014</v>
      </c>
      <c r="BT23" s="1" t="s">
        <v>40</v>
      </c>
      <c r="BU23" s="1">
        <v>72569.2</v>
      </c>
      <c r="BV23" s="1">
        <v>4981875.5</v>
      </c>
      <c r="BW23" s="1">
        <v>1.45666426228435E-2</v>
      </c>
      <c r="BX23" s="1"/>
      <c r="BY23" s="22">
        <v>8064</v>
      </c>
      <c r="BZ23" s="1" t="s">
        <v>57</v>
      </c>
      <c r="CA23" s="1">
        <v>2014</v>
      </c>
      <c r="CB23" s="1" t="s">
        <v>40</v>
      </c>
      <c r="CC23" s="1">
        <v>365747.20000000001</v>
      </c>
      <c r="CD23" s="1">
        <v>11026913.800000001</v>
      </c>
      <c r="CE23" s="1">
        <v>3.3168591560042801E-2</v>
      </c>
      <c r="CF23" s="1"/>
      <c r="CG23" s="22">
        <v>934</v>
      </c>
      <c r="CH23" s="1" t="s">
        <v>17</v>
      </c>
      <c r="CI23" s="1">
        <v>2015</v>
      </c>
      <c r="CJ23" s="1" t="s">
        <v>40</v>
      </c>
      <c r="CK23" s="1">
        <v>54114</v>
      </c>
      <c r="CL23" s="1">
        <v>3555133.8</v>
      </c>
      <c r="CM23" s="1">
        <v>1.52213680396501E-2</v>
      </c>
      <c r="CN23" s="1"/>
      <c r="CO23" s="22">
        <v>2130</v>
      </c>
      <c r="CP23" s="1" t="s">
        <v>61</v>
      </c>
      <c r="CQ23" s="1">
        <v>2015</v>
      </c>
      <c r="CR23" s="1" t="s">
        <v>40</v>
      </c>
      <c r="CS23" s="1">
        <v>254764.2</v>
      </c>
      <c r="CT23" s="1">
        <v>41208556.399999999</v>
      </c>
      <c r="CU23" s="1">
        <v>6.1823131469851004E-3</v>
      </c>
      <c r="CV23" s="1"/>
      <c r="CW23" s="22">
        <v>3326</v>
      </c>
      <c r="CX23" s="1" t="s">
        <v>44</v>
      </c>
      <c r="CY23" s="1">
        <v>2015</v>
      </c>
      <c r="CZ23" s="1" t="s">
        <v>40</v>
      </c>
      <c r="DA23" s="1">
        <v>22823.200000000001</v>
      </c>
      <c r="DB23" s="1">
        <v>6404349.4000000004</v>
      </c>
      <c r="DC23" s="1">
        <v>3.5637031296262001E-3</v>
      </c>
      <c r="DD23" s="1"/>
      <c r="DE23" s="22">
        <v>4522</v>
      </c>
      <c r="DF23" s="1" t="s">
        <v>38</v>
      </c>
      <c r="DG23" s="1">
        <v>2015</v>
      </c>
      <c r="DH23" s="1" t="s">
        <v>40</v>
      </c>
      <c r="DI23" s="1">
        <v>35016.9</v>
      </c>
      <c r="DJ23" s="1">
        <v>5531517.5999999996</v>
      </c>
      <c r="DK23" s="1">
        <v>6.3304327188618004E-3</v>
      </c>
      <c r="DL23" s="1"/>
      <c r="DM23" s="22">
        <v>5718</v>
      </c>
      <c r="DN23" s="1" t="s">
        <v>31</v>
      </c>
      <c r="DO23" s="1">
        <v>2015</v>
      </c>
      <c r="DP23" s="1" t="s">
        <v>40</v>
      </c>
      <c r="DQ23" s="1">
        <v>109073.7</v>
      </c>
      <c r="DR23" s="1">
        <v>7894528</v>
      </c>
      <c r="DS23" s="1">
        <v>1.38163674889746E-2</v>
      </c>
      <c r="DT23" s="1"/>
      <c r="DU23" s="22">
        <v>6914</v>
      </c>
      <c r="DV23" s="1" t="s">
        <v>51</v>
      </c>
      <c r="DW23" s="1">
        <v>2015</v>
      </c>
      <c r="DX23" s="1" t="s">
        <v>40</v>
      </c>
      <c r="DY23" s="1">
        <v>58050.8</v>
      </c>
      <c r="DZ23" s="1">
        <v>4209274.5999999996</v>
      </c>
      <c r="EA23" s="1">
        <v>1.3791164871971E-2</v>
      </c>
      <c r="EB23" s="1"/>
      <c r="EC23" s="22">
        <v>8110</v>
      </c>
      <c r="ED23" s="1" t="s">
        <v>57</v>
      </c>
      <c r="EE23" s="1">
        <v>2015</v>
      </c>
      <c r="EF23" s="1" t="s">
        <v>40</v>
      </c>
      <c r="EG23" s="1">
        <v>292445.59999999998</v>
      </c>
      <c r="EH23" s="1">
        <v>9729477.0999999996</v>
      </c>
      <c r="EI23" s="1">
        <v>3.00576893284429E-2</v>
      </c>
      <c r="EJ23" s="1"/>
      <c r="EK23" s="22">
        <v>980</v>
      </c>
      <c r="EL23" s="1" t="s">
        <v>17</v>
      </c>
      <c r="EM23" s="1">
        <v>2016</v>
      </c>
      <c r="EN23" s="1" t="s">
        <v>40</v>
      </c>
      <c r="EO23" s="1">
        <v>49672.2</v>
      </c>
      <c r="EP23" s="1">
        <v>3463407</v>
      </c>
      <c r="EQ23" s="1">
        <v>1.43420048524473E-2</v>
      </c>
      <c r="ER23" s="1"/>
      <c r="ES23" s="22">
        <v>2176</v>
      </c>
      <c r="ET23" s="1" t="s">
        <v>61</v>
      </c>
      <c r="EU23" s="1">
        <v>2016</v>
      </c>
      <c r="EV23" s="1" t="s">
        <v>40</v>
      </c>
      <c r="EW23" s="1">
        <v>230430.4</v>
      </c>
      <c r="EX23" s="1">
        <v>42141395.200000003</v>
      </c>
      <c r="EY23" s="1">
        <v>5.4680296868766E-3</v>
      </c>
      <c r="EZ23" s="1"/>
      <c r="FA23" s="22">
        <v>3372</v>
      </c>
      <c r="FB23" s="1" t="s">
        <v>44</v>
      </c>
      <c r="FC23" s="1">
        <v>2016</v>
      </c>
      <c r="FD23" s="1" t="s">
        <v>40</v>
      </c>
      <c r="FE23" s="1">
        <v>19223.099999999999</v>
      </c>
      <c r="FF23" s="1">
        <v>5868597.7999999998</v>
      </c>
      <c r="FG23" s="1">
        <v>3.2755865464148002E-3</v>
      </c>
      <c r="FH23" s="1"/>
      <c r="FI23" s="22">
        <v>4568</v>
      </c>
      <c r="FJ23" s="1" t="s">
        <v>38</v>
      </c>
      <c r="FK23" s="1">
        <v>2016</v>
      </c>
      <c r="FL23" s="1" t="s">
        <v>40</v>
      </c>
      <c r="FM23" s="1">
        <v>30893.1</v>
      </c>
      <c r="FN23" s="1">
        <v>5582986.5</v>
      </c>
      <c r="FO23" s="1">
        <v>5.5334362710709999E-3</v>
      </c>
      <c r="FP23" s="1"/>
      <c r="FQ23" s="22">
        <v>5764</v>
      </c>
      <c r="FR23" s="1" t="s">
        <v>31</v>
      </c>
      <c r="FS23" s="1">
        <v>2016</v>
      </c>
      <c r="FT23" s="1" t="s">
        <v>40</v>
      </c>
      <c r="FU23" s="1">
        <v>101619.2</v>
      </c>
      <c r="FV23" s="1">
        <v>8130820.9000000004</v>
      </c>
      <c r="FW23" s="1">
        <v>1.2498024645949299E-2</v>
      </c>
      <c r="FX23" s="1"/>
      <c r="FY23" s="22">
        <v>6960</v>
      </c>
      <c r="FZ23" s="1" t="s">
        <v>51</v>
      </c>
      <c r="GA23" s="1">
        <v>2016</v>
      </c>
      <c r="GB23" s="1" t="s">
        <v>40</v>
      </c>
      <c r="GC23" s="1">
        <v>56051.3</v>
      </c>
      <c r="GD23" s="1">
        <v>4230502.5999999996</v>
      </c>
      <c r="GE23" s="1">
        <v>1.3249324087402699E-2</v>
      </c>
      <c r="GF23" s="1"/>
      <c r="GG23" s="22">
        <v>8156</v>
      </c>
      <c r="GH23" s="1" t="s">
        <v>57</v>
      </c>
      <c r="GI23" s="1">
        <v>2016</v>
      </c>
      <c r="GJ23" s="1" t="s">
        <v>40</v>
      </c>
      <c r="GK23" s="1">
        <v>302088.8</v>
      </c>
      <c r="GL23" s="1">
        <v>10773649.5</v>
      </c>
      <c r="GM23" s="1">
        <v>2.80395979096962E-2</v>
      </c>
      <c r="GN23" s="1"/>
      <c r="GO23" s="22">
        <v>1026</v>
      </c>
      <c r="GP23" s="1" t="s">
        <v>17</v>
      </c>
      <c r="GQ23" s="1">
        <v>2017</v>
      </c>
      <c r="GR23" s="1" t="s">
        <v>40</v>
      </c>
      <c r="GS23" s="1">
        <v>55640</v>
      </c>
      <c r="GT23" s="1">
        <v>3719735.5</v>
      </c>
      <c r="GU23" s="1">
        <v>1.4958052797033499E-2</v>
      </c>
      <c r="GV23" s="1"/>
      <c r="GW23" s="22">
        <v>2222</v>
      </c>
      <c r="GX23" s="1" t="s">
        <v>61</v>
      </c>
      <c r="GY23" s="1">
        <v>2017</v>
      </c>
      <c r="GZ23" s="1" t="s">
        <v>40</v>
      </c>
      <c r="HA23" s="1">
        <v>248434</v>
      </c>
      <c r="HB23" s="1">
        <v>44107004.100000001</v>
      </c>
      <c r="HC23" s="1">
        <v>5.6325294603265996E-3</v>
      </c>
      <c r="HD23" s="1"/>
      <c r="HE23" s="22">
        <v>3418</v>
      </c>
      <c r="HF23" s="1" t="s">
        <v>44</v>
      </c>
      <c r="HG23" s="1">
        <v>2017</v>
      </c>
      <c r="HH23" s="1" t="s">
        <v>40</v>
      </c>
      <c r="HI23" s="1">
        <v>18593.8</v>
      </c>
      <c r="HJ23" s="1">
        <v>5855367.5</v>
      </c>
      <c r="HK23" s="1">
        <v>3.1755137487099998E-3</v>
      </c>
      <c r="HL23" s="1"/>
      <c r="HM23" s="22">
        <v>4614</v>
      </c>
      <c r="HN23" s="1" t="s">
        <v>38</v>
      </c>
      <c r="HO23" s="1">
        <v>2017</v>
      </c>
      <c r="HP23" s="1" t="s">
        <v>40</v>
      </c>
      <c r="HQ23" s="1">
        <v>38211.699999999997</v>
      </c>
      <c r="HR23" s="1">
        <v>5923445.7000000002</v>
      </c>
      <c r="HS23" s="1">
        <v>6.4509243327747004E-3</v>
      </c>
      <c r="HT23" s="1"/>
      <c r="HU23" s="22">
        <v>5810</v>
      </c>
      <c r="HV23" s="1" t="s">
        <v>31</v>
      </c>
      <c r="HW23" s="1">
        <v>2017</v>
      </c>
      <c r="HX23" s="1" t="s">
        <v>40</v>
      </c>
      <c r="HY23" s="1">
        <v>116500.8</v>
      </c>
      <c r="HZ23" s="1">
        <v>8686095.3000000007</v>
      </c>
      <c r="IA23" s="1">
        <v>1.34123326968332E-2</v>
      </c>
      <c r="IB23" s="1"/>
      <c r="IC23" s="22">
        <v>7006</v>
      </c>
      <c r="ID23" s="1" t="s">
        <v>51</v>
      </c>
      <c r="IE23" s="1">
        <v>2017</v>
      </c>
      <c r="IF23" s="1" t="s">
        <v>40</v>
      </c>
      <c r="IG23" s="1">
        <v>67007.399999999994</v>
      </c>
      <c r="IH23" s="1">
        <v>4472691.8</v>
      </c>
      <c r="II23" s="1">
        <v>1.4981448084574E-2</v>
      </c>
      <c r="IJ23" s="1"/>
      <c r="IK23" s="22">
        <v>8202</v>
      </c>
      <c r="IL23" s="1" t="s">
        <v>57</v>
      </c>
      <c r="IM23" s="1">
        <v>2017</v>
      </c>
      <c r="IN23" s="1" t="s">
        <v>40</v>
      </c>
      <c r="IO23" s="1">
        <v>329036.59999999998</v>
      </c>
      <c r="IP23" s="1">
        <v>10750260.5</v>
      </c>
      <c r="IQ23" s="1">
        <v>3.0607314120434499E-2</v>
      </c>
      <c r="IR23" s="1"/>
      <c r="IS23" s="22">
        <v>1072</v>
      </c>
      <c r="IT23" s="1" t="s">
        <v>17</v>
      </c>
      <c r="IU23" s="1">
        <v>2018</v>
      </c>
      <c r="IV23" s="1" t="s">
        <v>40</v>
      </c>
      <c r="IW23" s="1">
        <v>58459.9</v>
      </c>
      <c r="IX23" s="1">
        <v>3904165.4</v>
      </c>
      <c r="IY23" s="1">
        <v>1.49737252422758E-2</v>
      </c>
      <c r="IZ23" s="1"/>
      <c r="JA23" s="22">
        <v>2268</v>
      </c>
      <c r="JB23" s="1" t="s">
        <v>61</v>
      </c>
      <c r="JC23" s="1">
        <v>2018</v>
      </c>
      <c r="JD23" s="1" t="s">
        <v>40</v>
      </c>
      <c r="JE23" s="1">
        <v>282005.90000000002</v>
      </c>
      <c r="JF23" s="1">
        <v>46669099.200000003</v>
      </c>
      <c r="JG23" s="1">
        <v>6.0426685930119002E-3</v>
      </c>
      <c r="JH23" s="1"/>
      <c r="JI23" s="22">
        <v>3464</v>
      </c>
      <c r="JJ23" s="1" t="s">
        <v>44</v>
      </c>
      <c r="JK23" s="1">
        <v>2018</v>
      </c>
      <c r="JL23" s="1" t="s">
        <v>40</v>
      </c>
      <c r="JM23" s="1">
        <v>19971.099999999999</v>
      </c>
      <c r="JN23" s="1">
        <v>6336724.7000000002</v>
      </c>
      <c r="JO23" s="1">
        <v>3.1516439399678999E-3</v>
      </c>
      <c r="JP23" s="1"/>
      <c r="JQ23" s="22">
        <v>4660</v>
      </c>
      <c r="JR23" s="1" t="s">
        <v>38</v>
      </c>
      <c r="JS23" s="1">
        <v>2018</v>
      </c>
      <c r="JT23" s="1" t="s">
        <v>40</v>
      </c>
      <c r="JU23" s="1">
        <v>42876.800000000003</v>
      </c>
      <c r="JV23" s="1">
        <v>6390706</v>
      </c>
      <c r="JW23" s="1">
        <v>6.7092430789336003E-3</v>
      </c>
      <c r="JX23" s="1"/>
      <c r="JY23" s="22">
        <v>5856</v>
      </c>
      <c r="JZ23" s="1" t="s">
        <v>31</v>
      </c>
      <c r="KA23" s="1">
        <v>2018</v>
      </c>
      <c r="KB23" s="1" t="s">
        <v>40</v>
      </c>
      <c r="KC23" s="1">
        <v>127857.8</v>
      </c>
      <c r="KD23" s="1">
        <v>9443218.3000000007</v>
      </c>
      <c r="KE23" s="1">
        <v>1.3539642517847899E-2</v>
      </c>
      <c r="KF23" s="1"/>
      <c r="KG23" s="22">
        <v>7052</v>
      </c>
      <c r="KH23" s="1" t="s">
        <v>51</v>
      </c>
      <c r="KI23" s="1">
        <v>2018</v>
      </c>
      <c r="KJ23" s="1" t="s">
        <v>40</v>
      </c>
      <c r="KK23" s="1">
        <v>76708.800000000003</v>
      </c>
      <c r="KL23" s="1">
        <v>4803387.8</v>
      </c>
      <c r="KM23" s="1">
        <v>1.59697286985656E-2</v>
      </c>
      <c r="KN23" s="1"/>
      <c r="KO23" s="22">
        <v>8248</v>
      </c>
      <c r="KP23" s="1" t="s">
        <v>57</v>
      </c>
      <c r="KQ23" s="1">
        <v>2018</v>
      </c>
      <c r="KR23" s="1" t="s">
        <v>40</v>
      </c>
      <c r="KS23" s="1">
        <v>346312.6</v>
      </c>
      <c r="KT23" s="1">
        <v>11172914.4</v>
      </c>
      <c r="KU23" s="1">
        <v>3.0995726593949301E-2</v>
      </c>
      <c r="KV23" s="1"/>
      <c r="KW23" s="22">
        <v>1118</v>
      </c>
      <c r="KX23" s="1" t="s">
        <v>17</v>
      </c>
      <c r="KY23" s="1">
        <v>2019</v>
      </c>
      <c r="KZ23" s="1" t="s">
        <v>40</v>
      </c>
      <c r="LA23" s="1">
        <v>57390.5</v>
      </c>
      <c r="LB23" s="1">
        <v>3955328</v>
      </c>
      <c r="LC23" s="1">
        <v>1.45096689832044E-2</v>
      </c>
      <c r="LD23" s="1"/>
      <c r="LE23" s="22">
        <v>2314</v>
      </c>
      <c r="LF23" s="1" t="s">
        <v>61</v>
      </c>
      <c r="LG23" s="1">
        <v>2019</v>
      </c>
      <c r="LH23" s="1" t="s">
        <v>40</v>
      </c>
      <c r="LI23" s="1">
        <v>264169</v>
      </c>
      <c r="LJ23" s="1">
        <v>48356774.5</v>
      </c>
      <c r="LK23" s="1">
        <v>5.4629160594653996E-3</v>
      </c>
      <c r="LL23" s="1"/>
      <c r="LM23" s="22">
        <v>3510</v>
      </c>
      <c r="LN23" s="1" t="s">
        <v>44</v>
      </c>
      <c r="LO23" s="1">
        <v>2019</v>
      </c>
      <c r="LP23" s="1" t="s">
        <v>40</v>
      </c>
      <c r="LQ23" s="1">
        <v>18721.099999999999</v>
      </c>
      <c r="LR23" s="1">
        <v>6269787.0999999996</v>
      </c>
      <c r="LS23" s="1">
        <v>2.9859227596420001E-3</v>
      </c>
      <c r="LT23" s="1"/>
      <c r="LU23" s="22">
        <v>4706</v>
      </c>
      <c r="LV23" s="1" t="s">
        <v>38</v>
      </c>
      <c r="LW23" s="1">
        <v>2019</v>
      </c>
      <c r="LX23" s="1" t="s">
        <v>40</v>
      </c>
      <c r="LY23" s="1">
        <v>37912.199999999997</v>
      </c>
      <c r="LZ23" s="1">
        <v>6182094.5</v>
      </c>
      <c r="MA23" s="1">
        <v>6.1325817649664997E-3</v>
      </c>
      <c r="MB23" s="1"/>
      <c r="MC23" s="22">
        <v>5902</v>
      </c>
      <c r="MD23" s="1" t="s">
        <v>31</v>
      </c>
      <c r="ME23" s="1">
        <v>2019</v>
      </c>
      <c r="MF23" s="1" t="s">
        <v>40</v>
      </c>
      <c r="MG23" s="1">
        <v>116138.2</v>
      </c>
      <c r="MH23" s="1">
        <v>9237079</v>
      </c>
      <c r="MI23" s="1">
        <v>1.25730439243834E-2</v>
      </c>
      <c r="MJ23" s="1"/>
      <c r="MK23" s="22">
        <v>7098</v>
      </c>
      <c r="ML23" s="1" t="s">
        <v>51</v>
      </c>
      <c r="MM23" s="1">
        <v>2019</v>
      </c>
      <c r="MN23" s="1" t="s">
        <v>40</v>
      </c>
      <c r="MO23" s="1">
        <v>69210.2</v>
      </c>
      <c r="MP23" s="1">
        <v>4608662</v>
      </c>
      <c r="MQ23" s="1">
        <v>1.50174172026501E-2</v>
      </c>
      <c r="MR23" s="1"/>
      <c r="MS23" s="22">
        <v>8294</v>
      </c>
      <c r="MT23" s="1" t="s">
        <v>57</v>
      </c>
      <c r="MU23" s="1">
        <v>2019</v>
      </c>
      <c r="MV23" s="1" t="s">
        <v>40</v>
      </c>
      <c r="MW23" s="1">
        <v>333907.3</v>
      </c>
      <c r="MX23" s="1">
        <v>11338077</v>
      </c>
      <c r="MY23" s="1">
        <v>2.9450082231757602E-2</v>
      </c>
      <c r="MZ23" s="1"/>
      <c r="NA23" s="22">
        <v>1164</v>
      </c>
      <c r="NB23" s="1" t="s">
        <v>17</v>
      </c>
      <c r="NC23" s="1">
        <v>2020</v>
      </c>
      <c r="ND23" s="1" t="s">
        <v>40</v>
      </c>
      <c r="NE23" s="1">
        <v>56487.5</v>
      </c>
      <c r="NF23" s="1">
        <v>3784752.3</v>
      </c>
      <c r="NG23" s="1">
        <v>1.49250190032251E-2</v>
      </c>
      <c r="NH23" s="1"/>
      <c r="NI23" s="22">
        <v>2360</v>
      </c>
      <c r="NJ23" s="1" t="s">
        <v>61</v>
      </c>
      <c r="NK23" s="1">
        <v>2020</v>
      </c>
      <c r="NL23" s="1" t="s">
        <v>40</v>
      </c>
      <c r="NM23" s="1">
        <v>223115.9</v>
      </c>
      <c r="NN23" s="1">
        <v>47421769.399999999</v>
      </c>
      <c r="NO23" s="1">
        <v>4.7049256664809004E-3</v>
      </c>
      <c r="NP23" s="1"/>
      <c r="NQ23" s="22">
        <v>3556</v>
      </c>
      <c r="NR23" s="1" t="s">
        <v>44</v>
      </c>
      <c r="NS23" s="1">
        <v>2020</v>
      </c>
      <c r="NT23" s="1" t="s">
        <v>40</v>
      </c>
      <c r="NU23" s="1">
        <v>16321.8</v>
      </c>
      <c r="NV23" s="1">
        <v>5955345.3666666672</v>
      </c>
      <c r="NW23" s="1">
        <v>2.7406974734590999E-3</v>
      </c>
      <c r="NX23" s="1"/>
      <c r="NY23" s="22">
        <v>4752</v>
      </c>
      <c r="NZ23" s="1" t="s">
        <v>38</v>
      </c>
      <c r="OA23" s="1">
        <v>2020</v>
      </c>
      <c r="OB23" s="1" t="s">
        <v>40</v>
      </c>
      <c r="OC23" s="1">
        <v>31788.6</v>
      </c>
      <c r="OD23" s="1">
        <v>5990228.4000000004</v>
      </c>
      <c r="OE23" s="1">
        <v>5.3067425609347003E-3</v>
      </c>
      <c r="OF23" s="1"/>
      <c r="OG23" s="22">
        <v>5948</v>
      </c>
      <c r="OH23" s="1" t="s">
        <v>31</v>
      </c>
      <c r="OI23" s="1">
        <v>2020</v>
      </c>
      <c r="OJ23" s="1" t="s">
        <v>40</v>
      </c>
      <c r="OK23" s="1">
        <v>104560.2</v>
      </c>
      <c r="OL23" s="1">
        <v>9257180.0999999996</v>
      </c>
      <c r="OM23" s="1">
        <v>1.12950378917225E-2</v>
      </c>
      <c r="ON23" s="1"/>
      <c r="OO23" s="22">
        <v>7144</v>
      </c>
      <c r="OP23" s="1" t="s">
        <v>51</v>
      </c>
      <c r="OQ23" s="1">
        <v>2020</v>
      </c>
      <c r="OR23" s="1" t="s">
        <v>40</v>
      </c>
      <c r="OS23" s="1">
        <v>60305.4</v>
      </c>
      <c r="OT23" s="1">
        <v>4352046.4000000004</v>
      </c>
      <c r="OU23" s="1">
        <v>1.3856791600383601E-2</v>
      </c>
      <c r="OV23" s="1"/>
      <c r="OW23" s="22">
        <v>8340</v>
      </c>
      <c r="OX23" s="1" t="s">
        <v>57</v>
      </c>
      <c r="OY23" s="1">
        <v>2020</v>
      </c>
      <c r="OZ23" s="1" t="s">
        <v>40</v>
      </c>
      <c r="PA23" s="1">
        <v>270715.8</v>
      </c>
      <c r="PB23" s="1">
        <v>11082248.733333331</v>
      </c>
      <c r="PC23" s="1">
        <v>2.4427876193189601E-2</v>
      </c>
      <c r="PD23" s="1"/>
      <c r="PE23" s="22">
        <v>8386</v>
      </c>
      <c r="PF23" s="1" t="s">
        <v>17</v>
      </c>
      <c r="PG23" s="1">
        <v>2021</v>
      </c>
      <c r="PH23" s="1" t="s">
        <v>40</v>
      </c>
      <c r="PI23" s="1">
        <v>68998.351281648516</v>
      </c>
      <c r="PJ23" s="1">
        <v>4622999.2247741111</v>
      </c>
      <c r="PK23" s="1">
        <v>1.49250190032251E-2</v>
      </c>
      <c r="PL23" s="1"/>
      <c r="PM23" s="22">
        <v>9306</v>
      </c>
      <c r="PN23" s="1" t="s">
        <v>61</v>
      </c>
      <c r="PO23" s="1">
        <v>2021</v>
      </c>
      <c r="PP23" s="1" t="s">
        <v>40</v>
      </c>
      <c r="PQ23" s="1">
        <v>247430.34129651761</v>
      </c>
      <c r="PR23" s="1">
        <v>52589638.782026872</v>
      </c>
      <c r="PS23" s="1">
        <v>4.7049256664809004E-3</v>
      </c>
      <c r="PT23" s="1"/>
      <c r="PU23" s="22">
        <v>10226</v>
      </c>
      <c r="PV23" s="1" t="s">
        <v>44</v>
      </c>
      <c r="PW23" s="1">
        <v>2021</v>
      </c>
      <c r="PX23" s="1" t="s">
        <v>40</v>
      </c>
      <c r="PY23" s="1">
        <v>19024.40702467351</v>
      </c>
      <c r="PZ23" s="1">
        <v>6941447.2808129201</v>
      </c>
      <c r="QA23" s="1">
        <v>2.7406974734590999E-3</v>
      </c>
      <c r="QB23" s="1"/>
      <c r="QC23" s="22">
        <v>11146</v>
      </c>
      <c r="QD23" s="1" t="s">
        <v>38</v>
      </c>
      <c r="QE23" s="1">
        <v>2021</v>
      </c>
      <c r="QF23" s="1" t="s">
        <v>40</v>
      </c>
      <c r="QG23" s="1">
        <v>35612.216598625841</v>
      </c>
      <c r="QH23" s="1">
        <v>6710748.8614170318</v>
      </c>
      <c r="QI23" s="1">
        <v>5.3067425609347003E-3</v>
      </c>
      <c r="QJ23" s="1"/>
      <c r="QK23" s="22">
        <v>12066</v>
      </c>
      <c r="QL23" s="1" t="s">
        <v>31</v>
      </c>
      <c r="QM23" s="1">
        <v>2021</v>
      </c>
      <c r="QN23" s="1" t="s">
        <v>40</v>
      </c>
      <c r="QO23" s="1">
        <v>115391.6149324638</v>
      </c>
      <c r="QP23" s="1">
        <v>10216133.49495957</v>
      </c>
      <c r="QQ23" s="1">
        <v>1.12950378917225E-2</v>
      </c>
      <c r="QR23" s="1"/>
      <c r="QS23" s="22">
        <v>12986</v>
      </c>
      <c r="QT23" s="1" t="s">
        <v>51</v>
      </c>
      <c r="QU23" s="1">
        <v>2021</v>
      </c>
      <c r="QV23" s="1" t="s">
        <v>40</v>
      </c>
      <c r="QW23" s="1">
        <v>68896.203752594694</v>
      </c>
      <c r="QX23" s="1">
        <v>4972017.0252605537</v>
      </c>
      <c r="QY23" s="1">
        <v>1.3856791600383601E-2</v>
      </c>
      <c r="QZ23" s="1"/>
      <c r="RA23" s="22">
        <v>13906</v>
      </c>
      <c r="RB23" s="1" t="s">
        <v>57</v>
      </c>
      <c r="RC23" s="1">
        <v>2021</v>
      </c>
      <c r="RD23" s="1" t="s">
        <v>40</v>
      </c>
      <c r="RE23" s="1">
        <v>269916.62631700689</v>
      </c>
      <c r="RF23" s="1">
        <v>11049533.09007922</v>
      </c>
      <c r="RG23" s="1">
        <v>2.4427876193189601E-2</v>
      </c>
      <c r="RH23" s="1"/>
      <c r="RI23" s="22">
        <v>8432</v>
      </c>
      <c r="RJ23" s="1" t="s">
        <v>17</v>
      </c>
      <c r="RK23" s="1">
        <v>2022</v>
      </c>
      <c r="RL23" s="1" t="s">
        <v>40</v>
      </c>
      <c r="RM23" s="1">
        <v>74731.098325159328</v>
      </c>
      <c r="RN23" s="1">
        <v>5007102.3902221443</v>
      </c>
      <c r="RO23" s="1">
        <v>1.49250190032251E-2</v>
      </c>
      <c r="RP23" s="1"/>
      <c r="RQ23" s="22">
        <v>9352</v>
      </c>
      <c r="RR23" s="1" t="s">
        <v>61</v>
      </c>
      <c r="RS23" s="1">
        <v>2022</v>
      </c>
      <c r="RT23" s="1" t="s">
        <v>40</v>
      </c>
      <c r="RU23" s="1">
        <v>271730.15485129139</v>
      </c>
      <c r="RV23" s="1">
        <v>57754399.13688051</v>
      </c>
      <c r="RW23" s="1">
        <v>4.7049256664809004E-3</v>
      </c>
      <c r="RX23" s="1"/>
      <c r="RY23" s="22">
        <v>10272</v>
      </c>
      <c r="RZ23" s="1" t="s">
        <v>44</v>
      </c>
      <c r="SA23" s="1">
        <v>2022</v>
      </c>
      <c r="SB23" s="1" t="s">
        <v>40</v>
      </c>
      <c r="SC23" s="1">
        <v>18847.194829388769</v>
      </c>
      <c r="SD23" s="1">
        <v>6876787.7563667288</v>
      </c>
      <c r="SE23" s="1">
        <v>2.7406974734590999E-3</v>
      </c>
      <c r="SF23" s="1"/>
      <c r="SG23" s="22">
        <v>11192</v>
      </c>
      <c r="SH23" s="1" t="s">
        <v>38</v>
      </c>
      <c r="SI23" s="1">
        <v>2022</v>
      </c>
      <c r="SJ23" s="1" t="s">
        <v>40</v>
      </c>
      <c r="SK23" s="1">
        <v>33569.793076100723</v>
      </c>
      <c r="SL23" s="1">
        <v>6325875.5612572851</v>
      </c>
      <c r="SM23" s="1">
        <v>5.3067425609347003E-3</v>
      </c>
      <c r="SN23" s="1"/>
      <c r="SO23" s="22">
        <v>12112</v>
      </c>
      <c r="SP23" s="1" t="s">
        <v>31</v>
      </c>
      <c r="SQ23" s="1">
        <v>2022</v>
      </c>
      <c r="SR23" s="1" t="s">
        <v>40</v>
      </c>
      <c r="SS23" s="1">
        <v>110490.1979929642</v>
      </c>
      <c r="ST23" s="1">
        <v>9782189.227885304</v>
      </c>
      <c r="SU23" s="1">
        <v>1.12950378917225E-2</v>
      </c>
      <c r="SV23" s="1"/>
      <c r="SW23" s="22">
        <v>13032</v>
      </c>
      <c r="SX23" s="1" t="s">
        <v>51</v>
      </c>
      <c r="SY23" s="1">
        <v>2022</v>
      </c>
      <c r="SZ23" s="1" t="s">
        <v>40</v>
      </c>
      <c r="TA23" s="1">
        <v>66520.636115712536</v>
      </c>
      <c r="TB23" s="1">
        <v>4800579.963537232</v>
      </c>
      <c r="TC23" s="1">
        <v>1.3856791600383601E-2</v>
      </c>
      <c r="TD23" s="1"/>
      <c r="TE23" s="22">
        <v>13952</v>
      </c>
      <c r="TF23" s="1" t="s">
        <v>57</v>
      </c>
      <c r="TG23" s="1">
        <v>2022</v>
      </c>
      <c r="TH23" s="1" t="s">
        <v>40</v>
      </c>
      <c r="TI23" s="1">
        <v>228314.0654696108</v>
      </c>
      <c r="TJ23" s="1">
        <v>9346455.8140041605</v>
      </c>
      <c r="TK23" s="1">
        <v>2.4427876193189601E-2</v>
      </c>
      <c r="TL23" s="1"/>
      <c r="TM23" s="22">
        <v>8478</v>
      </c>
      <c r="TN23" s="1" t="s">
        <v>17</v>
      </c>
      <c r="TO23" s="1">
        <v>2023</v>
      </c>
      <c r="TP23" s="1" t="s">
        <v>40</v>
      </c>
      <c r="TQ23" s="1">
        <v>74148.714274497368</v>
      </c>
      <c r="TR23" s="1">
        <v>4968081.7329930915</v>
      </c>
      <c r="TS23" s="1">
        <v>1.49250190032251E-2</v>
      </c>
      <c r="TT23" s="1"/>
      <c r="TU23" s="22">
        <v>9398</v>
      </c>
      <c r="TV23" s="1" t="s">
        <v>61</v>
      </c>
      <c r="TW23" s="1">
        <v>2023</v>
      </c>
      <c r="TX23" s="1" t="s">
        <v>40</v>
      </c>
      <c r="TY23" s="1">
        <v>289636.60042474087</v>
      </c>
      <c r="TZ23" s="1">
        <v>61560292.543660469</v>
      </c>
      <c r="UA23" s="1">
        <v>4.7049256664809004E-3</v>
      </c>
      <c r="UB23" s="1"/>
      <c r="UC23" s="22">
        <v>10318</v>
      </c>
      <c r="UD23" s="1" t="s">
        <v>44</v>
      </c>
      <c r="UE23" s="1">
        <v>2023</v>
      </c>
      <c r="UF23" s="1" t="s">
        <v>40</v>
      </c>
      <c r="UG23" s="1">
        <v>20395.501653082181</v>
      </c>
      <c r="UH23" s="1">
        <v>7441719.4347760417</v>
      </c>
      <c r="UI23" s="1">
        <v>2.7406974734590999E-3</v>
      </c>
      <c r="UJ23" s="1"/>
      <c r="UK23" s="22">
        <v>11238</v>
      </c>
      <c r="UL23" s="1" t="s">
        <v>38</v>
      </c>
      <c r="UM23" s="1">
        <v>2023</v>
      </c>
      <c r="UN23" s="1" t="s">
        <v>40</v>
      </c>
      <c r="UO23" s="1">
        <v>36637.450060235482</v>
      </c>
      <c r="UP23" s="1">
        <v>6903943.3587640161</v>
      </c>
      <c r="UQ23" s="1">
        <v>5.3067425609347003E-3</v>
      </c>
      <c r="UR23" s="1"/>
      <c r="US23" s="22">
        <v>12158</v>
      </c>
      <c r="UT23" s="1" t="s">
        <v>31</v>
      </c>
      <c r="UU23" s="1">
        <v>2023</v>
      </c>
      <c r="UV23" s="1" t="s">
        <v>40</v>
      </c>
      <c r="UW23" s="1">
        <v>120099.310466125</v>
      </c>
      <c r="UX23" s="1">
        <v>10632926.743356841</v>
      </c>
      <c r="UY23" s="1">
        <v>1.12950378917225E-2</v>
      </c>
      <c r="UZ23" s="1"/>
      <c r="VA23" s="22">
        <v>13078</v>
      </c>
      <c r="VB23" s="1" t="s">
        <v>51</v>
      </c>
      <c r="VC23" s="1">
        <v>2023</v>
      </c>
      <c r="VD23" s="1" t="s">
        <v>40</v>
      </c>
      <c r="VE23" s="1">
        <v>72860.752350745111</v>
      </c>
      <c r="VF23" s="1">
        <v>5258125.7228930313</v>
      </c>
      <c r="VG23" s="1">
        <v>1.3856791600383601E-2</v>
      </c>
      <c r="VH23" s="1"/>
      <c r="VI23" s="22">
        <v>13998</v>
      </c>
      <c r="VJ23" s="1" t="s">
        <v>57</v>
      </c>
      <c r="VK23" s="1">
        <v>2023</v>
      </c>
      <c r="VL23" s="1" t="s">
        <v>40</v>
      </c>
      <c r="VM23" s="1">
        <v>225673.89986406901</v>
      </c>
      <c r="VN23" s="1">
        <v>9238375.7834414635</v>
      </c>
      <c r="VO23" s="1">
        <v>2.4427876193189601E-2</v>
      </c>
      <c r="VP23" s="1"/>
      <c r="VQ23" s="22">
        <v>8524</v>
      </c>
      <c r="VR23" s="1" t="s">
        <v>17</v>
      </c>
      <c r="VS23" s="1">
        <v>2024</v>
      </c>
      <c r="VT23" s="1" t="s">
        <v>40</v>
      </c>
      <c r="VU23" s="1">
        <v>76465.627038437247</v>
      </c>
      <c r="VV23" s="1">
        <v>5123318.5714479852</v>
      </c>
      <c r="VW23" s="1">
        <v>1.49250190032251E-2</v>
      </c>
      <c r="VX23" s="1"/>
      <c r="VY23" s="22">
        <v>9444</v>
      </c>
      <c r="VZ23" s="1" t="s">
        <v>61</v>
      </c>
      <c r="WA23" s="1">
        <v>2024</v>
      </c>
      <c r="WB23" s="1" t="s">
        <v>40</v>
      </c>
      <c r="WC23" s="1">
        <v>304935.12861277029</v>
      </c>
      <c r="WD23" s="1">
        <v>64811890.820126347</v>
      </c>
      <c r="WE23" s="1">
        <v>4.7049256664809004E-3</v>
      </c>
      <c r="WF23" s="1"/>
      <c r="WG23" s="22">
        <v>10364</v>
      </c>
      <c r="WH23" s="1" t="s">
        <v>44</v>
      </c>
      <c r="WI23" s="1">
        <v>2024</v>
      </c>
      <c r="WJ23" s="1" t="s">
        <v>40</v>
      </c>
      <c r="WK23" s="1">
        <v>22053.658249467469</v>
      </c>
      <c r="WL23" s="1">
        <v>8046732.0684004631</v>
      </c>
      <c r="WM23" s="1">
        <v>2.7406974734590999E-3</v>
      </c>
      <c r="WN23" s="1"/>
      <c r="WO23" s="22">
        <v>11284</v>
      </c>
      <c r="WP23" s="1" t="s">
        <v>38</v>
      </c>
      <c r="WQ23" s="1">
        <v>2024</v>
      </c>
      <c r="WR23" s="1" t="s">
        <v>40</v>
      </c>
      <c r="WS23" s="1">
        <v>37961.009652067572</v>
      </c>
      <c r="WT23" s="1">
        <v>7153354.2877160665</v>
      </c>
      <c r="WU23" s="1">
        <v>5.3067425609347003E-3</v>
      </c>
      <c r="WV23" s="1"/>
      <c r="WW23" s="22">
        <v>12204</v>
      </c>
      <c r="WX23" s="1" t="s">
        <v>31</v>
      </c>
      <c r="WY23" s="1">
        <v>2024</v>
      </c>
      <c r="WZ23" s="1" t="s">
        <v>40</v>
      </c>
      <c r="XA23" s="1">
        <v>123661.3959874516</v>
      </c>
      <c r="XB23" s="1">
        <v>10948294.03609846</v>
      </c>
      <c r="XC23" s="1">
        <v>1.12950378917225E-2</v>
      </c>
      <c r="XD23" s="1"/>
      <c r="XE23" s="22">
        <v>13124</v>
      </c>
      <c r="XF23" s="1" t="s">
        <v>51</v>
      </c>
      <c r="XG23" s="1">
        <v>2024</v>
      </c>
      <c r="XH23" s="1" t="s">
        <v>40</v>
      </c>
      <c r="XI23" s="1">
        <v>75015.645751462274</v>
      </c>
      <c r="XJ23" s="1">
        <v>5413637.436055948</v>
      </c>
      <c r="XK23" s="1">
        <v>1.3856791600383601E-2</v>
      </c>
      <c r="XL23" s="1"/>
      <c r="XM23" s="22">
        <v>14044</v>
      </c>
      <c r="XN23" s="1" t="s">
        <v>57</v>
      </c>
      <c r="XO23" s="1">
        <v>2024</v>
      </c>
      <c r="XP23" s="1" t="s">
        <v>40</v>
      </c>
      <c r="XQ23" s="1">
        <v>215659.5894235727</v>
      </c>
      <c r="XR23" s="1">
        <v>8828421.583522588</v>
      </c>
      <c r="XS23" s="1">
        <v>2.4427876193189601E-2</v>
      </c>
      <c r="XT23" s="1"/>
    </row>
    <row r="24" spans="1:644" x14ac:dyDescent="0.25">
      <c r="A24" s="2">
        <v>15</v>
      </c>
      <c r="B24" s="1" t="s">
        <v>17</v>
      </c>
      <c r="C24" s="1" t="s">
        <v>41</v>
      </c>
      <c r="D24" s="1">
        <v>8.2030164945312567E-3</v>
      </c>
      <c r="E24" s="1">
        <v>8.1658811266118857E-3</v>
      </c>
      <c r="F24" s="1">
        <v>8.084524862368183E-3</v>
      </c>
      <c r="G24" s="1">
        <v>7.7150915703549346E-3</v>
      </c>
      <c r="H24" s="1">
        <v>8.1504231352493399E-3</v>
      </c>
      <c r="I24" s="1">
        <v>8.3763723261383143E-3</v>
      </c>
      <c r="J24" s="1">
        <v>7.740110231256086E-3</v>
      </c>
      <c r="K24" s="1">
        <v>7.7401102312560149E-3</v>
      </c>
      <c r="L24" s="1">
        <v>7.7401102312560158E-3</v>
      </c>
      <c r="M24" s="1">
        <v>7.7401102312560158E-3</v>
      </c>
      <c r="N24" s="1">
        <v>7.7401102312560166E-3</v>
      </c>
      <c r="O24" s="1">
        <v>7.9450782428667332E-3</v>
      </c>
      <c r="P24" s="1"/>
      <c r="Q24" s="2">
        <v>126</v>
      </c>
      <c r="R24" s="1" t="s">
        <v>38</v>
      </c>
      <c r="S24" s="19" t="s">
        <v>25</v>
      </c>
      <c r="T24" s="19">
        <v>1.09135178280277E-2</v>
      </c>
      <c r="U24" s="1"/>
      <c r="V24" t="s">
        <v>44</v>
      </c>
      <c r="W24">
        <f>SUM(O163+O172+O180+O181+O182+O185)</f>
        <v>0.18066546194831304</v>
      </c>
      <c r="AC24" s="22">
        <v>889</v>
      </c>
      <c r="AD24" s="1" t="s">
        <v>17</v>
      </c>
      <c r="AE24" s="1">
        <v>2014</v>
      </c>
      <c r="AF24" s="1" t="s">
        <v>41</v>
      </c>
      <c r="AG24" s="1">
        <v>33535.699999999997</v>
      </c>
      <c r="AH24" s="1">
        <v>4088215.6</v>
      </c>
      <c r="AI24" s="1">
        <v>8.2030164945311995E-3</v>
      </c>
      <c r="AJ24" s="1"/>
      <c r="AK24" s="22">
        <v>2085</v>
      </c>
      <c r="AL24" s="1" t="s">
        <v>61</v>
      </c>
      <c r="AM24" s="1">
        <v>2014</v>
      </c>
      <c r="AN24" s="1" t="s">
        <v>41</v>
      </c>
      <c r="AO24" s="1">
        <v>374765.8</v>
      </c>
      <c r="AP24" s="1">
        <v>40350049.200000003</v>
      </c>
      <c r="AQ24" s="1">
        <v>9.2878647592826002E-3</v>
      </c>
      <c r="AR24" s="1"/>
      <c r="AS24" s="22">
        <v>3281</v>
      </c>
      <c r="AT24" s="1" t="s">
        <v>44</v>
      </c>
      <c r="AU24" s="1">
        <v>2014</v>
      </c>
      <c r="AV24" s="1" t="s">
        <v>41</v>
      </c>
      <c r="AW24" s="1">
        <v>54530.7</v>
      </c>
      <c r="AX24" s="1">
        <v>6735816.8000000007</v>
      </c>
      <c r="AY24" s="1">
        <v>8.0956328859774999E-3</v>
      </c>
      <c r="AZ24" s="1"/>
      <c r="BA24" s="22">
        <v>4477</v>
      </c>
      <c r="BB24" s="1" t="s">
        <v>38</v>
      </c>
      <c r="BC24" s="1">
        <v>2014</v>
      </c>
      <c r="BD24" s="1" t="s">
        <v>41</v>
      </c>
      <c r="BE24" s="1">
        <v>66183.899999999994</v>
      </c>
      <c r="BF24" s="1">
        <v>6538596.7000000002</v>
      </c>
      <c r="BG24" s="1">
        <v>1.0122034289100501E-2</v>
      </c>
      <c r="BH24" s="1"/>
      <c r="BI24" s="22">
        <v>5673</v>
      </c>
      <c r="BJ24" s="1" t="s">
        <v>31</v>
      </c>
      <c r="BK24" s="1">
        <v>2014</v>
      </c>
      <c r="BL24" s="1" t="s">
        <v>41</v>
      </c>
      <c r="BM24" s="1">
        <v>168365.4</v>
      </c>
      <c r="BN24" s="1">
        <v>9155477.5</v>
      </c>
      <c r="BO24" s="1">
        <v>1.8389581537391099E-2</v>
      </c>
      <c r="BP24" s="1"/>
      <c r="BQ24" s="22">
        <v>6869</v>
      </c>
      <c r="BR24" s="1" t="s">
        <v>51</v>
      </c>
      <c r="BS24" s="1">
        <v>2014</v>
      </c>
      <c r="BT24" s="1" t="s">
        <v>41</v>
      </c>
      <c r="BU24" s="1">
        <v>104794.9</v>
      </c>
      <c r="BV24" s="1">
        <v>4981875.5</v>
      </c>
      <c r="BW24" s="1">
        <v>2.10352306074288E-2</v>
      </c>
      <c r="BX24" s="1"/>
      <c r="BY24" s="22">
        <v>8065</v>
      </c>
      <c r="BZ24" s="1" t="s">
        <v>57</v>
      </c>
      <c r="CA24" s="1">
        <v>2014</v>
      </c>
      <c r="CB24" s="1" t="s">
        <v>41</v>
      </c>
      <c r="CC24" s="1">
        <v>102381.6</v>
      </c>
      <c r="CD24" s="1">
        <v>11026913.800000001</v>
      </c>
      <c r="CE24" s="1">
        <v>9.2847012189394007E-3</v>
      </c>
      <c r="CF24" s="1"/>
      <c r="CG24" s="22">
        <v>935</v>
      </c>
      <c r="CH24" s="1" t="s">
        <v>17</v>
      </c>
      <c r="CI24" s="1">
        <v>2015</v>
      </c>
      <c r="CJ24" s="1" t="s">
        <v>41</v>
      </c>
      <c r="CK24" s="1">
        <v>29030.799999999999</v>
      </c>
      <c r="CL24" s="1">
        <v>3555133.8</v>
      </c>
      <c r="CM24" s="1">
        <v>8.1658811266118007E-3</v>
      </c>
      <c r="CN24" s="1"/>
      <c r="CO24" s="22">
        <v>2131</v>
      </c>
      <c r="CP24" s="1" t="s">
        <v>61</v>
      </c>
      <c r="CQ24" s="1">
        <v>2015</v>
      </c>
      <c r="CR24" s="1" t="s">
        <v>41</v>
      </c>
      <c r="CS24" s="1">
        <v>370265.9</v>
      </c>
      <c r="CT24" s="1">
        <v>41208556.399999999</v>
      </c>
      <c r="CU24" s="1">
        <v>8.9851703710737002E-3</v>
      </c>
      <c r="CV24" s="1"/>
      <c r="CW24" s="22">
        <v>3327</v>
      </c>
      <c r="CX24" s="1" t="s">
        <v>44</v>
      </c>
      <c r="CY24" s="1">
        <v>2015</v>
      </c>
      <c r="CZ24" s="1" t="s">
        <v>41</v>
      </c>
      <c r="DA24" s="1">
        <v>49824.7</v>
      </c>
      <c r="DB24" s="1">
        <v>6404349.4000000004</v>
      </c>
      <c r="DC24" s="1">
        <v>7.7798222564184E-3</v>
      </c>
      <c r="DD24" s="1"/>
      <c r="DE24" s="22">
        <v>4523</v>
      </c>
      <c r="DF24" s="1" t="s">
        <v>38</v>
      </c>
      <c r="DG24" s="1">
        <v>2015</v>
      </c>
      <c r="DH24" s="1" t="s">
        <v>41</v>
      </c>
      <c r="DI24" s="1">
        <v>55026.2</v>
      </c>
      <c r="DJ24" s="1">
        <v>5531517.5999999996</v>
      </c>
      <c r="DK24" s="1">
        <v>9.9477582788490993E-3</v>
      </c>
      <c r="DL24" s="1"/>
      <c r="DM24" s="22">
        <v>5719</v>
      </c>
      <c r="DN24" s="1" t="s">
        <v>31</v>
      </c>
      <c r="DO24" s="1">
        <v>2015</v>
      </c>
      <c r="DP24" s="1" t="s">
        <v>41</v>
      </c>
      <c r="DQ24" s="1">
        <v>139925.79999999999</v>
      </c>
      <c r="DR24" s="1">
        <v>7894528</v>
      </c>
      <c r="DS24" s="1">
        <v>1.7724403536221501E-2</v>
      </c>
      <c r="DT24" s="1"/>
      <c r="DU24" s="22">
        <v>6915</v>
      </c>
      <c r="DV24" s="1" t="s">
        <v>51</v>
      </c>
      <c r="DW24" s="1">
        <v>2015</v>
      </c>
      <c r="DX24" s="1" t="s">
        <v>41</v>
      </c>
      <c r="DY24" s="1">
        <v>89243</v>
      </c>
      <c r="DZ24" s="1">
        <v>4209274.5999999996</v>
      </c>
      <c r="EA24" s="1">
        <v>2.12015153394839E-2</v>
      </c>
      <c r="EB24" s="1"/>
      <c r="EC24" s="22">
        <v>8111</v>
      </c>
      <c r="ED24" s="1" t="s">
        <v>57</v>
      </c>
      <c r="EE24" s="1">
        <v>2015</v>
      </c>
      <c r="EF24" s="1" t="s">
        <v>41</v>
      </c>
      <c r="EG24" s="1">
        <v>90903.9</v>
      </c>
      <c r="EH24" s="1">
        <v>9729477.0999999996</v>
      </c>
      <c r="EI24" s="1">
        <v>9.3431434254569994E-3</v>
      </c>
      <c r="EJ24" s="1"/>
      <c r="EK24" s="22">
        <v>981</v>
      </c>
      <c r="EL24" s="1" t="s">
        <v>17</v>
      </c>
      <c r="EM24" s="1">
        <v>2016</v>
      </c>
      <c r="EN24" s="1" t="s">
        <v>41</v>
      </c>
      <c r="EO24" s="1">
        <v>28000</v>
      </c>
      <c r="EP24" s="1">
        <v>3463407</v>
      </c>
      <c r="EQ24" s="1">
        <v>8.0845248623680997E-3</v>
      </c>
      <c r="ER24" s="1"/>
      <c r="ES24" s="22">
        <v>2177</v>
      </c>
      <c r="ET24" s="1" t="s">
        <v>61</v>
      </c>
      <c r="EU24" s="1">
        <v>2016</v>
      </c>
      <c r="EV24" s="1" t="s">
        <v>41</v>
      </c>
      <c r="EW24" s="1">
        <v>361339.8</v>
      </c>
      <c r="EX24" s="1">
        <v>42141395.200000003</v>
      </c>
      <c r="EY24" s="1">
        <v>8.5744621953094992E-3</v>
      </c>
      <c r="EZ24" s="1"/>
      <c r="FA24" s="22">
        <v>3373</v>
      </c>
      <c r="FB24" s="1" t="s">
        <v>44</v>
      </c>
      <c r="FC24" s="1">
        <v>2016</v>
      </c>
      <c r="FD24" s="1" t="s">
        <v>41</v>
      </c>
      <c r="FE24" s="1">
        <v>43920.2</v>
      </c>
      <c r="FF24" s="1">
        <v>5868597.7999999998</v>
      </c>
      <c r="FG24" s="1">
        <v>7.4839342372380003E-3</v>
      </c>
      <c r="FH24" s="1"/>
      <c r="FI24" s="22">
        <v>4569</v>
      </c>
      <c r="FJ24" s="1" t="s">
        <v>38</v>
      </c>
      <c r="FK24" s="1">
        <v>2016</v>
      </c>
      <c r="FL24" s="1" t="s">
        <v>41</v>
      </c>
      <c r="FM24" s="1">
        <v>55571.7</v>
      </c>
      <c r="FN24" s="1">
        <v>5582986.5</v>
      </c>
      <c r="FO24" s="1">
        <v>9.9537586200502993E-3</v>
      </c>
      <c r="FP24" s="1"/>
      <c r="FQ24" s="22">
        <v>5765</v>
      </c>
      <c r="FR24" s="1" t="s">
        <v>31</v>
      </c>
      <c r="FS24" s="1">
        <v>2016</v>
      </c>
      <c r="FT24" s="1" t="s">
        <v>41</v>
      </c>
      <c r="FU24" s="1">
        <v>144920.70000000001</v>
      </c>
      <c r="FV24" s="1">
        <v>8130820.9000000004</v>
      </c>
      <c r="FW24" s="1">
        <v>1.7823624672387E-2</v>
      </c>
      <c r="FX24" s="1"/>
      <c r="FY24" s="22">
        <v>6961</v>
      </c>
      <c r="FZ24" s="1" t="s">
        <v>51</v>
      </c>
      <c r="GA24" s="1">
        <v>2016</v>
      </c>
      <c r="GB24" s="1" t="s">
        <v>41</v>
      </c>
      <c r="GC24" s="1">
        <v>88768.6</v>
      </c>
      <c r="GD24" s="1">
        <v>4230502.5999999996</v>
      </c>
      <c r="GE24" s="1">
        <v>2.09829914771828E-2</v>
      </c>
      <c r="GF24" s="1"/>
      <c r="GG24" s="22">
        <v>8157</v>
      </c>
      <c r="GH24" s="1" t="s">
        <v>57</v>
      </c>
      <c r="GI24" s="1">
        <v>2016</v>
      </c>
      <c r="GJ24" s="1" t="s">
        <v>41</v>
      </c>
      <c r="GK24" s="1">
        <v>101540.2</v>
      </c>
      <c r="GL24" s="1">
        <v>10773649.5</v>
      </c>
      <c r="GM24" s="1">
        <v>9.4248657337514998E-3</v>
      </c>
      <c r="GN24" s="1"/>
      <c r="GO24" s="22">
        <v>1027</v>
      </c>
      <c r="GP24" s="1" t="s">
        <v>17</v>
      </c>
      <c r="GQ24" s="1">
        <v>2017</v>
      </c>
      <c r="GR24" s="1" t="s">
        <v>41</v>
      </c>
      <c r="GS24" s="1">
        <v>28698.1</v>
      </c>
      <c r="GT24" s="1">
        <v>3719735.5</v>
      </c>
      <c r="GU24" s="1">
        <v>7.7150915703548999E-3</v>
      </c>
      <c r="GV24" s="1"/>
      <c r="GW24" s="22">
        <v>2223</v>
      </c>
      <c r="GX24" s="1" t="s">
        <v>61</v>
      </c>
      <c r="GY24" s="1">
        <v>2017</v>
      </c>
      <c r="GZ24" s="1" t="s">
        <v>41</v>
      </c>
      <c r="HA24" s="1">
        <v>364740.3</v>
      </c>
      <c r="HB24" s="1">
        <v>44107004.100000001</v>
      </c>
      <c r="HC24" s="1">
        <v>8.2694417234291002E-3</v>
      </c>
      <c r="HD24" s="1"/>
      <c r="HE24" s="22">
        <v>3419</v>
      </c>
      <c r="HF24" s="1" t="s">
        <v>44</v>
      </c>
      <c r="HG24" s="1">
        <v>2017</v>
      </c>
      <c r="HH24" s="1" t="s">
        <v>41</v>
      </c>
      <c r="HI24" s="1">
        <v>43669.2</v>
      </c>
      <c r="HJ24" s="1">
        <v>5855367.5</v>
      </c>
      <c r="HK24" s="1">
        <v>7.4579776589598998E-3</v>
      </c>
      <c r="HL24" s="1"/>
      <c r="HM24" s="22">
        <v>4615</v>
      </c>
      <c r="HN24" s="1" t="s">
        <v>38</v>
      </c>
      <c r="HO24" s="1">
        <v>2017</v>
      </c>
      <c r="HP24" s="1" t="s">
        <v>41</v>
      </c>
      <c r="HQ24" s="1">
        <v>59182.1</v>
      </c>
      <c r="HR24" s="1">
        <v>5923445.7000000002</v>
      </c>
      <c r="HS24" s="1">
        <v>9.9911610568152003E-3</v>
      </c>
      <c r="HT24" s="1"/>
      <c r="HU24" s="22">
        <v>5811</v>
      </c>
      <c r="HV24" s="1" t="s">
        <v>31</v>
      </c>
      <c r="HW24" s="1">
        <v>2017</v>
      </c>
      <c r="HX24" s="1" t="s">
        <v>41</v>
      </c>
      <c r="HY24" s="1">
        <v>154468.29999999999</v>
      </c>
      <c r="HZ24" s="1">
        <v>8686095.3000000007</v>
      </c>
      <c r="IA24" s="1">
        <v>1.7783399175922001E-2</v>
      </c>
      <c r="IB24" s="1"/>
      <c r="IC24" s="22">
        <v>7007</v>
      </c>
      <c r="ID24" s="1" t="s">
        <v>51</v>
      </c>
      <c r="IE24" s="1">
        <v>2017</v>
      </c>
      <c r="IF24" s="1" t="s">
        <v>41</v>
      </c>
      <c r="IG24" s="1">
        <v>97225.4</v>
      </c>
      <c r="IH24" s="1">
        <v>4472691.8</v>
      </c>
      <c r="II24" s="1">
        <v>2.1737558577141301E-2</v>
      </c>
      <c r="IJ24" s="1"/>
      <c r="IK24" s="22">
        <v>8203</v>
      </c>
      <c r="IL24" s="1" t="s">
        <v>57</v>
      </c>
      <c r="IM24" s="1">
        <v>2017</v>
      </c>
      <c r="IN24" s="1" t="s">
        <v>41</v>
      </c>
      <c r="IO24" s="1">
        <v>103730.6</v>
      </c>
      <c r="IP24" s="1">
        <v>10750260.5</v>
      </c>
      <c r="IQ24" s="1">
        <v>9.6491243165687992E-3</v>
      </c>
      <c r="IR24" s="1"/>
      <c r="IS24" s="22">
        <v>1073</v>
      </c>
      <c r="IT24" s="1" t="s">
        <v>17</v>
      </c>
      <c r="IU24" s="1">
        <v>2018</v>
      </c>
      <c r="IV24" s="1" t="s">
        <v>41</v>
      </c>
      <c r="IW24" s="1">
        <v>31820.6</v>
      </c>
      <c r="IX24" s="1">
        <v>3904165.4</v>
      </c>
      <c r="IY24" s="1">
        <v>8.1504231352493E-3</v>
      </c>
      <c r="IZ24" s="1"/>
      <c r="JA24" s="22">
        <v>2269</v>
      </c>
      <c r="JB24" s="1" t="s">
        <v>61</v>
      </c>
      <c r="JC24" s="1">
        <v>2018</v>
      </c>
      <c r="JD24" s="1" t="s">
        <v>41</v>
      </c>
      <c r="JE24" s="1">
        <v>394868</v>
      </c>
      <c r="JF24" s="1">
        <v>46669099.200000003</v>
      </c>
      <c r="JG24" s="1">
        <v>8.4610161063490008E-3</v>
      </c>
      <c r="JH24" s="1"/>
      <c r="JI24" s="22">
        <v>3465</v>
      </c>
      <c r="JJ24" s="1" t="s">
        <v>44</v>
      </c>
      <c r="JK24" s="1">
        <v>2018</v>
      </c>
      <c r="JL24" s="1" t="s">
        <v>41</v>
      </c>
      <c r="JM24" s="1">
        <v>48016.6</v>
      </c>
      <c r="JN24" s="1">
        <v>6336724.7000000002</v>
      </c>
      <c r="JO24" s="1">
        <v>7.5775108235331002E-3</v>
      </c>
      <c r="JP24" s="1"/>
      <c r="JQ24" s="22">
        <v>4661</v>
      </c>
      <c r="JR24" s="1" t="s">
        <v>38</v>
      </c>
      <c r="JS24" s="1">
        <v>2018</v>
      </c>
      <c r="JT24" s="1" t="s">
        <v>41</v>
      </c>
      <c r="JU24" s="1">
        <v>63264.9</v>
      </c>
      <c r="JV24" s="1">
        <v>6390706</v>
      </c>
      <c r="JW24" s="1">
        <v>9.8995165792324005E-3</v>
      </c>
      <c r="JX24" s="1"/>
      <c r="JY24" s="22">
        <v>5857</v>
      </c>
      <c r="JZ24" s="1" t="s">
        <v>31</v>
      </c>
      <c r="KA24" s="1">
        <v>2018</v>
      </c>
      <c r="KB24" s="1" t="s">
        <v>41</v>
      </c>
      <c r="KC24" s="1">
        <v>166750.6</v>
      </c>
      <c r="KD24" s="1">
        <v>9443218.3000000007</v>
      </c>
      <c r="KE24" s="1">
        <v>1.7658238399508301E-2</v>
      </c>
      <c r="KF24" s="1"/>
      <c r="KG24" s="22">
        <v>7053</v>
      </c>
      <c r="KH24" s="1" t="s">
        <v>51</v>
      </c>
      <c r="KI24" s="1">
        <v>2018</v>
      </c>
      <c r="KJ24" s="1" t="s">
        <v>41</v>
      </c>
      <c r="KK24" s="1">
        <v>110332.4</v>
      </c>
      <c r="KL24" s="1">
        <v>4803387.8</v>
      </c>
      <c r="KM24" s="1">
        <v>2.29697048404045E-2</v>
      </c>
      <c r="KN24" s="1"/>
      <c r="KO24" s="22">
        <v>8249</v>
      </c>
      <c r="KP24" s="1" t="s">
        <v>57</v>
      </c>
      <c r="KQ24" s="1">
        <v>2018</v>
      </c>
      <c r="KR24" s="1" t="s">
        <v>41</v>
      </c>
      <c r="KS24" s="1">
        <v>111258.5</v>
      </c>
      <c r="KT24" s="1">
        <v>11172914.4</v>
      </c>
      <c r="KU24" s="1">
        <v>9.9578763442418998E-3</v>
      </c>
      <c r="KV24" s="1"/>
      <c r="KW24" s="22">
        <v>1119</v>
      </c>
      <c r="KX24" s="1" t="s">
        <v>17</v>
      </c>
      <c r="KY24" s="1">
        <v>2019</v>
      </c>
      <c r="KZ24" s="1" t="s">
        <v>41</v>
      </c>
      <c r="LA24" s="1">
        <v>33131.300000000003</v>
      </c>
      <c r="LB24" s="1">
        <v>3955328</v>
      </c>
      <c r="LC24" s="1">
        <v>8.3763723261383004E-3</v>
      </c>
      <c r="LD24" s="1"/>
      <c r="LE24" s="22">
        <v>2315</v>
      </c>
      <c r="LF24" s="1" t="s">
        <v>61</v>
      </c>
      <c r="LG24" s="1">
        <v>2019</v>
      </c>
      <c r="LH24" s="1" t="s">
        <v>41</v>
      </c>
      <c r="LI24" s="1">
        <v>401614.7</v>
      </c>
      <c r="LJ24" s="1">
        <v>48356774.5</v>
      </c>
      <c r="LK24" s="1">
        <v>8.3052416988647002E-3</v>
      </c>
      <c r="LL24" s="1"/>
      <c r="LM24" s="22">
        <v>3511</v>
      </c>
      <c r="LN24" s="1" t="s">
        <v>44</v>
      </c>
      <c r="LO24" s="1">
        <v>2019</v>
      </c>
      <c r="LP24" s="1" t="s">
        <v>41</v>
      </c>
      <c r="LQ24" s="1">
        <v>46904.3</v>
      </c>
      <c r="LR24" s="1">
        <v>6269787.0999999996</v>
      </c>
      <c r="LS24" s="1">
        <v>7.4810036213191003E-3</v>
      </c>
      <c r="LT24" s="1"/>
      <c r="LU24" s="22">
        <v>4707</v>
      </c>
      <c r="LV24" s="1" t="s">
        <v>38</v>
      </c>
      <c r="LW24" s="1">
        <v>2019</v>
      </c>
      <c r="LX24" s="1" t="s">
        <v>41</v>
      </c>
      <c r="LY24" s="1">
        <v>59141.1</v>
      </c>
      <c r="LZ24" s="1">
        <v>6182094.5</v>
      </c>
      <c r="MA24" s="1">
        <v>9.5665150379049997E-3</v>
      </c>
      <c r="MB24" s="1"/>
      <c r="MC24" s="22">
        <v>5903</v>
      </c>
      <c r="MD24" s="1" t="s">
        <v>31</v>
      </c>
      <c r="ME24" s="1">
        <v>2019</v>
      </c>
      <c r="MF24" s="1" t="s">
        <v>41</v>
      </c>
      <c r="MG24" s="1">
        <v>154464.4</v>
      </c>
      <c r="MH24" s="1">
        <v>9237079</v>
      </c>
      <c r="MI24" s="1">
        <v>1.6722212725473001E-2</v>
      </c>
      <c r="MJ24" s="1"/>
      <c r="MK24" s="22">
        <v>7099</v>
      </c>
      <c r="ML24" s="1" t="s">
        <v>51</v>
      </c>
      <c r="MM24" s="1">
        <v>2019</v>
      </c>
      <c r="MN24" s="1" t="s">
        <v>41</v>
      </c>
      <c r="MO24" s="1">
        <v>102644.8</v>
      </c>
      <c r="MP24" s="1">
        <v>4608662</v>
      </c>
      <c r="MQ24" s="1">
        <v>2.2272147534360201E-2</v>
      </c>
      <c r="MR24" s="1"/>
      <c r="MS24" s="22">
        <v>8295</v>
      </c>
      <c r="MT24" s="1" t="s">
        <v>57</v>
      </c>
      <c r="MU24" s="1">
        <v>2019</v>
      </c>
      <c r="MV24" s="1" t="s">
        <v>41</v>
      </c>
      <c r="MW24" s="1">
        <v>112631.5</v>
      </c>
      <c r="MX24" s="1">
        <v>11338077</v>
      </c>
      <c r="MY24" s="1">
        <v>9.9339156013845999E-3</v>
      </c>
      <c r="MZ24" s="1"/>
      <c r="NA24" s="22">
        <v>1165</v>
      </c>
      <c r="NB24" s="1" t="s">
        <v>17</v>
      </c>
      <c r="NC24" s="1">
        <v>2020</v>
      </c>
      <c r="ND24" s="1" t="s">
        <v>41</v>
      </c>
      <c r="NE24" s="1">
        <v>29294.400000000001</v>
      </c>
      <c r="NF24" s="1">
        <v>3784752.3</v>
      </c>
      <c r="NG24" s="1">
        <v>7.7401102312560002E-3</v>
      </c>
      <c r="NH24" s="1"/>
      <c r="NI24" s="22">
        <v>2361</v>
      </c>
      <c r="NJ24" s="1" t="s">
        <v>61</v>
      </c>
      <c r="NK24" s="1">
        <v>2020</v>
      </c>
      <c r="NL24" s="1" t="s">
        <v>41</v>
      </c>
      <c r="NM24" s="1">
        <v>364715.9</v>
      </c>
      <c r="NN24" s="1">
        <v>47421769.399999999</v>
      </c>
      <c r="NO24" s="1">
        <v>7.6908960718787001E-3</v>
      </c>
      <c r="NP24" s="1"/>
      <c r="NQ24" s="22">
        <v>3557</v>
      </c>
      <c r="NR24" s="1" t="s">
        <v>44</v>
      </c>
      <c r="NS24" s="1">
        <v>2020</v>
      </c>
      <c r="NT24" s="1" t="s">
        <v>41</v>
      </c>
      <c r="NU24" s="1">
        <v>43544.9</v>
      </c>
      <c r="NV24" s="1">
        <v>5955345.3666666672</v>
      </c>
      <c r="NW24" s="1">
        <v>7.3119017150088004E-3</v>
      </c>
      <c r="NX24" s="1"/>
      <c r="NY24" s="22">
        <v>4753</v>
      </c>
      <c r="NZ24" s="1" t="s">
        <v>38</v>
      </c>
      <c r="OA24" s="1">
        <v>2020</v>
      </c>
      <c r="OB24" s="1" t="s">
        <v>41</v>
      </c>
      <c r="OC24" s="1">
        <v>51122.9</v>
      </c>
      <c r="OD24" s="1">
        <v>5990228.4000000004</v>
      </c>
      <c r="OE24" s="1">
        <v>8.5343824285564005E-3</v>
      </c>
      <c r="OF24" s="1"/>
      <c r="OG24" s="22">
        <v>5949</v>
      </c>
      <c r="OH24" s="1" t="s">
        <v>31</v>
      </c>
      <c r="OI24" s="1">
        <v>2020</v>
      </c>
      <c r="OJ24" s="1" t="s">
        <v>41</v>
      </c>
      <c r="OK24" s="1">
        <v>144975.29999999999</v>
      </c>
      <c r="OL24" s="1">
        <v>9257180.0999999996</v>
      </c>
      <c r="OM24" s="1">
        <v>1.56608490311212E-2</v>
      </c>
      <c r="ON24" s="1"/>
      <c r="OO24" s="22">
        <v>7145</v>
      </c>
      <c r="OP24" s="1" t="s">
        <v>51</v>
      </c>
      <c r="OQ24" s="1">
        <v>2020</v>
      </c>
      <c r="OR24" s="1" t="s">
        <v>41</v>
      </c>
      <c r="OS24" s="1">
        <v>95907.6</v>
      </c>
      <c r="OT24" s="1">
        <v>4352046.4000000004</v>
      </c>
      <c r="OU24" s="1">
        <v>2.20373569546501E-2</v>
      </c>
      <c r="OV24" s="1"/>
      <c r="OW24" s="22">
        <v>8341</v>
      </c>
      <c r="OX24" s="1" t="s">
        <v>57</v>
      </c>
      <c r="OY24" s="1">
        <v>2020</v>
      </c>
      <c r="OZ24" s="1" t="s">
        <v>41</v>
      </c>
      <c r="PA24" s="1">
        <v>100328.8</v>
      </c>
      <c r="PB24" s="1">
        <v>11082248.733333331</v>
      </c>
      <c r="PC24" s="1">
        <v>9.0531084813345996E-3</v>
      </c>
      <c r="PD24" s="1"/>
      <c r="PE24" s="22">
        <v>8387</v>
      </c>
      <c r="PF24" s="1" t="s">
        <v>17</v>
      </c>
      <c r="PG24" s="1">
        <v>2021</v>
      </c>
      <c r="PH24" s="1" t="s">
        <v>41</v>
      </c>
      <c r="PI24" s="1">
        <v>35782.523598762651</v>
      </c>
      <c r="PJ24" s="1">
        <v>4622999.2247741111</v>
      </c>
      <c r="PK24" s="1">
        <v>7.7401102312560002E-3</v>
      </c>
      <c r="PL24" s="1"/>
      <c r="PM24" s="22">
        <v>9307</v>
      </c>
      <c r="PN24" s="1" t="s">
        <v>61</v>
      </c>
      <c r="PO24" s="1">
        <v>2021</v>
      </c>
      <c r="PP24" s="1" t="s">
        <v>41</v>
      </c>
      <c r="PQ24" s="1">
        <v>404461.44633021019</v>
      </c>
      <c r="PR24" s="1">
        <v>52589638.782026872</v>
      </c>
      <c r="PS24" s="1">
        <v>7.6908960718787001E-3</v>
      </c>
      <c r="PT24" s="1"/>
      <c r="PU24" s="22">
        <v>10227</v>
      </c>
      <c r="PV24" s="1" t="s">
        <v>44</v>
      </c>
      <c r="PW24" s="1">
        <v>2021</v>
      </c>
      <c r="PX24" s="1" t="s">
        <v>41</v>
      </c>
      <c r="PY24" s="1">
        <v>50755.180277219173</v>
      </c>
      <c r="PZ24" s="1">
        <v>6941447.2808129201</v>
      </c>
      <c r="QA24" s="1">
        <v>7.3119017150088004E-3</v>
      </c>
      <c r="QB24" s="1"/>
      <c r="QC24" s="22">
        <v>11147</v>
      </c>
      <c r="QD24" s="1" t="s">
        <v>38</v>
      </c>
      <c r="QE24" s="1">
        <v>2021</v>
      </c>
      <c r="QF24" s="1" t="s">
        <v>41</v>
      </c>
      <c r="QG24" s="1">
        <v>57272.097165332387</v>
      </c>
      <c r="QH24" s="1">
        <v>6710748.8614170318</v>
      </c>
      <c r="QI24" s="1">
        <v>8.5343824285564005E-3</v>
      </c>
      <c r="QJ24" s="1"/>
      <c r="QK24" s="22">
        <v>12067</v>
      </c>
      <c r="QL24" s="1" t="s">
        <v>31</v>
      </c>
      <c r="QM24" s="1">
        <v>2021</v>
      </c>
      <c r="QN24" s="1" t="s">
        <v>41</v>
      </c>
      <c r="QO24" s="1">
        <v>159993.32434634239</v>
      </c>
      <c r="QP24" s="1">
        <v>10216133.49495957</v>
      </c>
      <c r="QQ24" s="1">
        <v>1.56608490311212E-2</v>
      </c>
      <c r="QR24" s="1"/>
      <c r="QS24" s="22">
        <v>12987</v>
      </c>
      <c r="QT24" s="1" t="s">
        <v>51</v>
      </c>
      <c r="QU24" s="1">
        <v>2021</v>
      </c>
      <c r="QV24" s="1" t="s">
        <v>41</v>
      </c>
      <c r="QW24" s="1">
        <v>109570.1139702644</v>
      </c>
      <c r="QX24" s="1">
        <v>4972017.0252605537</v>
      </c>
      <c r="QY24" s="1">
        <v>2.20373569546501E-2</v>
      </c>
      <c r="QZ24" s="1"/>
      <c r="RA24" s="22">
        <v>13907</v>
      </c>
      <c r="RB24" s="1" t="s">
        <v>57</v>
      </c>
      <c r="RC24" s="1">
        <v>2021</v>
      </c>
      <c r="RD24" s="1" t="s">
        <v>41</v>
      </c>
      <c r="RE24" s="1">
        <v>100032.6217325835</v>
      </c>
      <c r="RF24" s="1">
        <v>11049533.09007922</v>
      </c>
      <c r="RG24" s="1">
        <v>9.0531084813345996E-3</v>
      </c>
      <c r="RH24" s="1"/>
      <c r="RI24" s="22">
        <v>8433</v>
      </c>
      <c r="RJ24" s="1" t="s">
        <v>17</v>
      </c>
      <c r="RK24" s="1">
        <v>2022</v>
      </c>
      <c r="RL24" s="1" t="s">
        <v>41</v>
      </c>
      <c r="RM24" s="1">
        <v>38755.524439504792</v>
      </c>
      <c r="RN24" s="1">
        <v>5007102.3902221443</v>
      </c>
      <c r="RO24" s="1">
        <v>7.7401102312560002E-3</v>
      </c>
      <c r="RP24" s="1"/>
      <c r="RQ24" s="22">
        <v>9353</v>
      </c>
      <c r="RR24" s="1" t="s">
        <v>61</v>
      </c>
      <c r="RS24" s="1">
        <v>2022</v>
      </c>
      <c r="RT24" s="1" t="s">
        <v>41</v>
      </c>
      <c r="RU24" s="1">
        <v>444183.08145554888</v>
      </c>
      <c r="RV24" s="1">
        <v>57754399.13688051</v>
      </c>
      <c r="RW24" s="1">
        <v>7.6908960718787001E-3</v>
      </c>
      <c r="RX24" s="1"/>
      <c r="RY24" s="22">
        <v>10273</v>
      </c>
      <c r="RZ24" s="1" t="s">
        <v>44</v>
      </c>
      <c r="SA24" s="1">
        <v>2022</v>
      </c>
      <c r="SB24" s="1" t="s">
        <v>41</v>
      </c>
      <c r="SC24" s="1">
        <v>50282.396189529412</v>
      </c>
      <c r="SD24" s="1">
        <v>6876787.7563667288</v>
      </c>
      <c r="SE24" s="1">
        <v>7.3119017150088004E-3</v>
      </c>
      <c r="SF24" s="1"/>
      <c r="SG24" s="22">
        <v>11193</v>
      </c>
      <c r="SH24" s="1" t="s">
        <v>38</v>
      </c>
      <c r="SI24" s="1">
        <v>2022</v>
      </c>
      <c r="SJ24" s="1" t="s">
        <v>41</v>
      </c>
      <c r="SK24" s="1">
        <v>53987.441235228529</v>
      </c>
      <c r="SL24" s="1">
        <v>6325875.5612572851</v>
      </c>
      <c r="SM24" s="1">
        <v>8.5343824285564005E-3</v>
      </c>
      <c r="SN24" s="1"/>
      <c r="SO24" s="22">
        <v>12113</v>
      </c>
      <c r="SP24" s="1" t="s">
        <v>31</v>
      </c>
      <c r="SQ24" s="1">
        <v>2022</v>
      </c>
      <c r="SR24" s="1" t="s">
        <v>41</v>
      </c>
      <c r="SS24" s="1">
        <v>153197.3886917718</v>
      </c>
      <c r="ST24" s="1">
        <v>9782189.227885304</v>
      </c>
      <c r="SU24" s="1">
        <v>1.56608490311212E-2</v>
      </c>
      <c r="SV24" s="1"/>
      <c r="SW24" s="22">
        <v>13033</v>
      </c>
      <c r="SX24" s="1" t="s">
        <v>51</v>
      </c>
      <c r="SY24" s="1">
        <v>2022</v>
      </c>
      <c r="SZ24" s="1" t="s">
        <v>41</v>
      </c>
      <c r="TA24" s="1">
        <v>105792.09424581109</v>
      </c>
      <c r="TB24" s="1">
        <v>4800579.963537232</v>
      </c>
      <c r="TC24" s="1">
        <v>2.20373569546501E-2</v>
      </c>
      <c r="TD24" s="1"/>
      <c r="TE24" s="22">
        <v>13953</v>
      </c>
      <c r="TF24" s="1" t="s">
        <v>57</v>
      </c>
      <c r="TG24" s="1">
        <v>2022</v>
      </c>
      <c r="TH24" s="1" t="s">
        <v>41</v>
      </c>
      <c r="TI24" s="1">
        <v>84614.478400180145</v>
      </c>
      <c r="TJ24" s="1">
        <v>9346455.8140041605</v>
      </c>
      <c r="TK24" s="1">
        <v>9.0531084813345996E-3</v>
      </c>
      <c r="TL24" s="1"/>
      <c r="TM24" s="22">
        <v>8479</v>
      </c>
      <c r="TN24" s="1" t="s">
        <v>17</v>
      </c>
      <c r="TO24" s="1">
        <v>2023</v>
      </c>
      <c r="TP24" s="1" t="s">
        <v>41</v>
      </c>
      <c r="TQ24" s="1">
        <v>38453.500251255857</v>
      </c>
      <c r="TR24" s="1">
        <v>4968081.7329930915</v>
      </c>
      <c r="TS24" s="1">
        <v>7.7401102312560002E-3</v>
      </c>
      <c r="TT24" s="1"/>
      <c r="TU24" s="22">
        <v>9399</v>
      </c>
      <c r="TV24" s="1" t="s">
        <v>61</v>
      </c>
      <c r="TW24" s="1">
        <v>2023</v>
      </c>
      <c r="TX24" s="1" t="s">
        <v>41</v>
      </c>
      <c r="TY24" s="1">
        <v>473453.81210774201</v>
      </c>
      <c r="TZ24" s="1">
        <v>61560292.543660469</v>
      </c>
      <c r="UA24" s="1">
        <v>7.6908960718787001E-3</v>
      </c>
      <c r="UB24" s="1"/>
      <c r="UC24" s="22">
        <v>10319</v>
      </c>
      <c r="UD24" s="1" t="s">
        <v>44</v>
      </c>
      <c r="UE24" s="1">
        <v>2023</v>
      </c>
      <c r="UF24" s="1" t="s">
        <v>41</v>
      </c>
      <c r="UG24" s="1">
        <v>54413.121097753261</v>
      </c>
      <c r="UH24" s="1">
        <v>7441719.4347760417</v>
      </c>
      <c r="UI24" s="1">
        <v>7.3119017150088004E-3</v>
      </c>
      <c r="UJ24" s="1"/>
      <c r="UK24" s="22">
        <v>11239</v>
      </c>
      <c r="UL24" s="1" t="s">
        <v>38</v>
      </c>
      <c r="UM24" s="1">
        <v>2023</v>
      </c>
      <c r="UN24" s="1" t="s">
        <v>41</v>
      </c>
      <c r="UO24" s="1">
        <v>58920.892888784278</v>
      </c>
      <c r="UP24" s="1">
        <v>6903943.3587640161</v>
      </c>
      <c r="UQ24" s="1">
        <v>8.5343824285564005E-3</v>
      </c>
      <c r="UR24" s="1"/>
      <c r="US24" s="22">
        <v>12159</v>
      </c>
      <c r="UT24" s="1" t="s">
        <v>31</v>
      </c>
      <c r="UU24" s="1">
        <v>2023</v>
      </c>
      <c r="UV24" s="1" t="s">
        <v>41</v>
      </c>
      <c r="UW24" s="1">
        <v>166520.66048668261</v>
      </c>
      <c r="UX24" s="1">
        <v>10632926.743356841</v>
      </c>
      <c r="UY24" s="1">
        <v>1.56608490311212E-2</v>
      </c>
      <c r="UZ24" s="1"/>
      <c r="VA24" s="22">
        <v>13079</v>
      </c>
      <c r="VB24" s="1" t="s">
        <v>51</v>
      </c>
      <c r="VC24" s="1">
        <v>2023</v>
      </c>
      <c r="VD24" s="1" t="s">
        <v>41</v>
      </c>
      <c r="VE24" s="1">
        <v>115875.1934678213</v>
      </c>
      <c r="VF24" s="1">
        <v>5258125.7228930313</v>
      </c>
      <c r="VG24" s="1">
        <v>2.20373569546501E-2</v>
      </c>
      <c r="VH24" s="1"/>
      <c r="VI24" s="22">
        <v>13999</v>
      </c>
      <c r="VJ24" s="1" t="s">
        <v>57</v>
      </c>
      <c r="VK24" s="1">
        <v>2023</v>
      </c>
      <c r="VL24" s="1" t="s">
        <v>41</v>
      </c>
      <c r="VM24" s="1">
        <v>83636.018158830091</v>
      </c>
      <c r="VN24" s="1">
        <v>9238375.7834414635</v>
      </c>
      <c r="VO24" s="1">
        <v>9.0531084813345996E-3</v>
      </c>
      <c r="VP24" s="1"/>
      <c r="VQ24" s="22">
        <v>8525</v>
      </c>
      <c r="VR24" s="1" t="s">
        <v>17</v>
      </c>
      <c r="VS24" s="1">
        <v>2024</v>
      </c>
      <c r="VT24" s="1" t="s">
        <v>41</v>
      </c>
      <c r="VU24" s="1">
        <v>39655.050492848422</v>
      </c>
      <c r="VV24" s="1">
        <v>5123318.5714479852</v>
      </c>
      <c r="VW24" s="1">
        <v>7.7401102312560002E-3</v>
      </c>
      <c r="VX24" s="1"/>
      <c r="VY24" s="22">
        <v>9445</v>
      </c>
      <c r="VZ24" s="1" t="s">
        <v>61</v>
      </c>
      <c r="WA24" s="1">
        <v>2024</v>
      </c>
      <c r="WB24" s="1" t="s">
        <v>41</v>
      </c>
      <c r="WC24" s="1">
        <v>498461.51651954092</v>
      </c>
      <c r="WD24" s="1">
        <v>64811890.820126347</v>
      </c>
      <c r="WE24" s="1">
        <v>7.6908960718787001E-3</v>
      </c>
      <c r="WF24" s="1"/>
      <c r="WG24" s="22">
        <v>10365</v>
      </c>
      <c r="WH24" s="1" t="s">
        <v>44</v>
      </c>
      <c r="WI24" s="1">
        <v>2024</v>
      </c>
      <c r="WJ24" s="1" t="s">
        <v>41</v>
      </c>
      <c r="WK24" s="1">
        <v>58836.914011153647</v>
      </c>
      <c r="WL24" s="1">
        <v>8046732.0684004631</v>
      </c>
      <c r="WM24" s="1">
        <v>7.3119017150088004E-3</v>
      </c>
      <c r="WN24" s="1"/>
      <c r="WO24" s="22">
        <v>11285</v>
      </c>
      <c r="WP24" s="1" t="s">
        <v>38</v>
      </c>
      <c r="WQ24" s="1">
        <v>2024</v>
      </c>
      <c r="WR24" s="1" t="s">
        <v>41</v>
      </c>
      <c r="WS24" s="1">
        <v>61049.461138322578</v>
      </c>
      <c r="WT24" s="1">
        <v>7153354.2877160665</v>
      </c>
      <c r="WU24" s="1">
        <v>8.5343824285564005E-3</v>
      </c>
      <c r="WV24" s="1"/>
      <c r="WW24" s="22">
        <v>12205</v>
      </c>
      <c r="WX24" s="1" t="s">
        <v>31</v>
      </c>
      <c r="WY24" s="1">
        <v>2024</v>
      </c>
      <c r="WZ24" s="1" t="s">
        <v>41</v>
      </c>
      <c r="XA24" s="1">
        <v>171459.5800476626</v>
      </c>
      <c r="XB24" s="1">
        <v>10948294.03609846</v>
      </c>
      <c r="XC24" s="1">
        <v>1.56608490311212E-2</v>
      </c>
      <c r="XD24" s="1"/>
      <c r="XE24" s="22">
        <v>13125</v>
      </c>
      <c r="XF24" s="1" t="s">
        <v>51</v>
      </c>
      <c r="XG24" s="1">
        <v>2024</v>
      </c>
      <c r="XH24" s="1" t="s">
        <v>41</v>
      </c>
      <c r="XI24" s="1">
        <v>119302.2606014217</v>
      </c>
      <c r="XJ24" s="1">
        <v>5413637.436055948</v>
      </c>
      <c r="XK24" s="1">
        <v>2.20373569546501E-2</v>
      </c>
      <c r="XL24" s="1"/>
      <c r="XM24" s="22">
        <v>14045</v>
      </c>
      <c r="XN24" s="1" t="s">
        <v>57</v>
      </c>
      <c r="XO24" s="1">
        <v>2024</v>
      </c>
      <c r="XP24" s="1" t="s">
        <v>41</v>
      </c>
      <c r="XQ24" s="1">
        <v>79924.658314585773</v>
      </c>
      <c r="XR24" s="1">
        <v>8828421.583522588</v>
      </c>
      <c r="XS24" s="1">
        <v>9.0531084813345996E-3</v>
      </c>
      <c r="XT24" s="1"/>
    </row>
    <row r="25" spans="1:644" x14ac:dyDescent="0.25">
      <c r="A25" s="2">
        <v>16</v>
      </c>
      <c r="B25" s="1" t="s">
        <v>17</v>
      </c>
      <c r="C25" s="16" t="s">
        <v>19</v>
      </c>
      <c r="D25" s="16">
        <v>3.160645441497753E-3</v>
      </c>
      <c r="E25" s="16">
        <v>3.2338304679278181E-3</v>
      </c>
      <c r="F25" s="16">
        <v>3.19384929348471E-3</v>
      </c>
      <c r="G25" s="16">
        <v>3.1643378944551299E-3</v>
      </c>
      <c r="H25" s="16">
        <v>3.229345764910472E-3</v>
      </c>
      <c r="I25" s="16">
        <v>3.3064261674379471E-3</v>
      </c>
      <c r="J25" s="16">
        <v>3.0570296502627141E-3</v>
      </c>
      <c r="K25" s="16">
        <v>3.0570296502627058E-3</v>
      </c>
      <c r="L25" s="16">
        <v>3.0570296502627058E-3</v>
      </c>
      <c r="M25" s="16">
        <v>3.0570296502627058E-3</v>
      </c>
      <c r="N25" s="16">
        <v>3.0570296502627071E-3</v>
      </c>
      <c r="O25" s="16">
        <v>3.1430530255479429E-3</v>
      </c>
      <c r="P25" s="1"/>
      <c r="Q25" s="2">
        <v>127</v>
      </c>
      <c r="R25" s="1" t="s">
        <v>38</v>
      </c>
      <c r="S25" s="1" t="s">
        <v>27</v>
      </c>
      <c r="T25" s="1">
        <v>1.9352355507214751E-2</v>
      </c>
      <c r="U25" s="1"/>
      <c r="V25" t="s">
        <v>51</v>
      </c>
      <c r="AC25" s="22">
        <v>890</v>
      </c>
      <c r="AD25" s="20" t="s">
        <v>17</v>
      </c>
      <c r="AE25" s="20">
        <v>2014</v>
      </c>
      <c r="AF25" s="20" t="s">
        <v>19</v>
      </c>
      <c r="AG25" s="20">
        <v>12921.4</v>
      </c>
      <c r="AH25" s="20">
        <v>4088215.6</v>
      </c>
      <c r="AI25" s="20">
        <v>3.1606454414977001E-3</v>
      </c>
      <c r="AJ25" s="1"/>
      <c r="AK25" s="22">
        <v>2086</v>
      </c>
      <c r="AL25" s="1" t="s">
        <v>61</v>
      </c>
      <c r="AM25" s="1">
        <v>2014</v>
      </c>
      <c r="AN25" s="1" t="s">
        <v>19</v>
      </c>
      <c r="AO25" s="1">
        <v>351628.3</v>
      </c>
      <c r="AP25" s="1">
        <v>40350049.200000003</v>
      </c>
      <c r="AQ25" s="1">
        <v>8.7144453841211007E-3</v>
      </c>
      <c r="AR25" s="1"/>
      <c r="AS25" s="22">
        <v>3282</v>
      </c>
      <c r="AT25" s="1" t="s">
        <v>44</v>
      </c>
      <c r="AU25" s="1">
        <v>2014</v>
      </c>
      <c r="AV25" s="1" t="s">
        <v>19</v>
      </c>
      <c r="AW25" s="1">
        <v>36873.199999999997</v>
      </c>
      <c r="AX25" s="1">
        <v>6735816.8000000007</v>
      </c>
      <c r="AY25" s="1">
        <v>5.4741987638381E-3</v>
      </c>
      <c r="AZ25" s="1"/>
      <c r="BA25" s="22">
        <v>4478</v>
      </c>
      <c r="BB25" s="1" t="s">
        <v>38</v>
      </c>
      <c r="BC25" s="1">
        <v>2014</v>
      </c>
      <c r="BD25" s="1" t="s">
        <v>19</v>
      </c>
      <c r="BE25" s="1">
        <v>33715.1</v>
      </c>
      <c r="BF25" s="1">
        <v>6538596.7000000002</v>
      </c>
      <c r="BG25" s="1">
        <v>5.1563204685800001E-3</v>
      </c>
      <c r="BH25" s="1"/>
      <c r="BI25" s="22">
        <v>5674</v>
      </c>
      <c r="BJ25" s="1" t="s">
        <v>31</v>
      </c>
      <c r="BK25" s="1">
        <v>2014</v>
      </c>
      <c r="BL25" s="1" t="s">
        <v>19</v>
      </c>
      <c r="BM25" s="1">
        <v>97139.5</v>
      </c>
      <c r="BN25" s="1">
        <v>9155477.5</v>
      </c>
      <c r="BO25" s="1">
        <v>1.0609987299952399E-2</v>
      </c>
      <c r="BP25" s="1"/>
      <c r="BQ25" s="22">
        <v>6870</v>
      </c>
      <c r="BR25" s="1" t="s">
        <v>51</v>
      </c>
      <c r="BS25" s="1">
        <v>2014</v>
      </c>
      <c r="BT25" s="1" t="s">
        <v>19</v>
      </c>
      <c r="BU25" s="1">
        <v>27673.599999999999</v>
      </c>
      <c r="BV25" s="1">
        <v>4981875.5</v>
      </c>
      <c r="BW25" s="1">
        <v>5.5548557967777003E-3</v>
      </c>
      <c r="BX25" s="1"/>
      <c r="BY25" s="22">
        <v>8066</v>
      </c>
      <c r="BZ25" s="1" t="s">
        <v>57</v>
      </c>
      <c r="CA25" s="1">
        <v>2014</v>
      </c>
      <c r="CB25" s="1" t="s">
        <v>19</v>
      </c>
      <c r="CC25" s="1">
        <v>191514.5</v>
      </c>
      <c r="CD25" s="1">
        <v>11026913.800000001</v>
      </c>
      <c r="CE25" s="1">
        <v>1.73679148557414E-2</v>
      </c>
      <c r="CF25" s="1"/>
      <c r="CG25" s="22">
        <v>936</v>
      </c>
      <c r="CH25" s="1" t="s">
        <v>17</v>
      </c>
      <c r="CI25" s="1">
        <v>2015</v>
      </c>
      <c r="CJ25" s="1" t="s">
        <v>19</v>
      </c>
      <c r="CK25" s="1">
        <v>11496.7</v>
      </c>
      <c r="CL25" s="1">
        <v>3555133.8</v>
      </c>
      <c r="CM25" s="1">
        <v>3.2338304679277998E-3</v>
      </c>
      <c r="CN25" s="1"/>
      <c r="CO25" s="22">
        <v>2132</v>
      </c>
      <c r="CP25" s="1" t="s">
        <v>61</v>
      </c>
      <c r="CQ25" s="1">
        <v>2015</v>
      </c>
      <c r="CR25" s="1" t="s">
        <v>19</v>
      </c>
      <c r="CS25" s="1">
        <v>368084</v>
      </c>
      <c r="CT25" s="1">
        <v>41208556.399999999</v>
      </c>
      <c r="CU25" s="1">
        <v>8.9322226293759993E-3</v>
      </c>
      <c r="CV25" s="1"/>
      <c r="CW25" s="22">
        <v>3328</v>
      </c>
      <c r="CX25" s="1" t="s">
        <v>44</v>
      </c>
      <c r="CY25" s="1">
        <v>2015</v>
      </c>
      <c r="CZ25" s="1" t="s">
        <v>19</v>
      </c>
      <c r="DA25" s="1">
        <v>30802.6</v>
      </c>
      <c r="DB25" s="1">
        <v>6404349.4000000004</v>
      </c>
      <c r="DC25" s="1">
        <v>4.8096376503129999E-3</v>
      </c>
      <c r="DD25" s="1"/>
      <c r="DE25" s="22">
        <v>4524</v>
      </c>
      <c r="DF25" s="1" t="s">
        <v>38</v>
      </c>
      <c r="DG25" s="1">
        <v>2015</v>
      </c>
      <c r="DH25" s="1" t="s">
        <v>19</v>
      </c>
      <c r="DI25" s="1">
        <v>31138.6</v>
      </c>
      <c r="DJ25" s="1">
        <v>5531517.5999999996</v>
      </c>
      <c r="DK25" s="1">
        <v>5.6293050572595003E-3</v>
      </c>
      <c r="DL25" s="1"/>
      <c r="DM25" s="22">
        <v>5720</v>
      </c>
      <c r="DN25" s="1" t="s">
        <v>31</v>
      </c>
      <c r="DO25" s="1">
        <v>2015</v>
      </c>
      <c r="DP25" s="1" t="s">
        <v>19</v>
      </c>
      <c r="DQ25" s="1">
        <v>91791.1</v>
      </c>
      <c r="DR25" s="1">
        <v>7894528</v>
      </c>
      <c r="DS25" s="1">
        <v>1.16271802443413E-2</v>
      </c>
      <c r="DT25" s="1"/>
      <c r="DU25" s="22">
        <v>6916</v>
      </c>
      <c r="DV25" s="1" t="s">
        <v>51</v>
      </c>
      <c r="DW25" s="1">
        <v>2015</v>
      </c>
      <c r="DX25" s="1" t="s">
        <v>19</v>
      </c>
      <c r="DY25" s="1">
        <v>23614.9</v>
      </c>
      <c r="DZ25" s="1">
        <v>4209274.5999999996</v>
      </c>
      <c r="EA25" s="1">
        <v>5.6102065662334997E-3</v>
      </c>
      <c r="EB25" s="1"/>
      <c r="EC25" s="22">
        <v>8112</v>
      </c>
      <c r="ED25" s="1" t="s">
        <v>57</v>
      </c>
      <c r="EE25" s="1">
        <v>2015</v>
      </c>
      <c r="EF25" s="1" t="s">
        <v>19</v>
      </c>
      <c r="EG25" s="1">
        <v>173249.8</v>
      </c>
      <c r="EH25" s="1">
        <v>9729477.0999999996</v>
      </c>
      <c r="EI25" s="1">
        <v>1.7806691790250399E-2</v>
      </c>
      <c r="EJ25" s="1"/>
      <c r="EK25" s="22">
        <v>982</v>
      </c>
      <c r="EL25" s="1" t="s">
        <v>17</v>
      </c>
      <c r="EM25" s="1">
        <v>2016</v>
      </c>
      <c r="EN25" s="1" t="s">
        <v>19</v>
      </c>
      <c r="EO25" s="1">
        <v>11061.6</v>
      </c>
      <c r="EP25" s="1">
        <v>3463407</v>
      </c>
      <c r="EQ25" s="1">
        <v>3.1938492934847E-3</v>
      </c>
      <c r="ER25" s="1"/>
      <c r="ES25" s="22">
        <v>2178</v>
      </c>
      <c r="ET25" s="1" t="s">
        <v>61</v>
      </c>
      <c r="EU25" s="1">
        <v>2016</v>
      </c>
      <c r="EV25" s="1" t="s">
        <v>19</v>
      </c>
      <c r="EW25" s="1">
        <v>369204.4</v>
      </c>
      <c r="EX25" s="1">
        <v>42141395.200000003</v>
      </c>
      <c r="EY25" s="1">
        <v>8.7610862964499006E-3</v>
      </c>
      <c r="EZ25" s="1"/>
      <c r="FA25" s="22">
        <v>3374</v>
      </c>
      <c r="FB25" s="1" t="s">
        <v>44</v>
      </c>
      <c r="FC25" s="1">
        <v>2016</v>
      </c>
      <c r="FD25" s="1" t="s">
        <v>19</v>
      </c>
      <c r="FE25" s="1">
        <v>29434</v>
      </c>
      <c r="FF25" s="1">
        <v>5868597.7999999998</v>
      </c>
      <c r="FG25" s="1">
        <v>5.0155081338169004E-3</v>
      </c>
      <c r="FH25" s="1"/>
      <c r="FI25" s="22">
        <v>4570</v>
      </c>
      <c r="FJ25" s="1" t="s">
        <v>38</v>
      </c>
      <c r="FK25" s="1">
        <v>2016</v>
      </c>
      <c r="FL25" s="1" t="s">
        <v>19</v>
      </c>
      <c r="FM25" s="1">
        <v>29190.400000000001</v>
      </c>
      <c r="FN25" s="1">
        <v>5582986.5</v>
      </c>
      <c r="FO25" s="1">
        <v>5.2284561318570004E-3</v>
      </c>
      <c r="FP25" s="1"/>
      <c r="FQ25" s="22">
        <v>5766</v>
      </c>
      <c r="FR25" s="1" t="s">
        <v>31</v>
      </c>
      <c r="FS25" s="1">
        <v>2016</v>
      </c>
      <c r="FT25" s="1" t="s">
        <v>19</v>
      </c>
      <c r="FU25" s="1">
        <v>96678.2</v>
      </c>
      <c r="FV25" s="1">
        <v>8130820.9000000004</v>
      </c>
      <c r="FW25" s="1">
        <v>1.1890336927726401E-2</v>
      </c>
      <c r="FX25" s="1"/>
      <c r="FY25" s="22">
        <v>6962</v>
      </c>
      <c r="FZ25" s="1" t="s">
        <v>51</v>
      </c>
      <c r="GA25" s="1">
        <v>2016</v>
      </c>
      <c r="GB25" s="1" t="s">
        <v>19</v>
      </c>
      <c r="GC25" s="1">
        <v>23831.200000000001</v>
      </c>
      <c r="GD25" s="1">
        <v>4230502.5999999996</v>
      </c>
      <c r="GE25" s="1">
        <v>5.6331841044134998E-3</v>
      </c>
      <c r="GF25" s="1"/>
      <c r="GG25" s="22">
        <v>8158</v>
      </c>
      <c r="GH25" s="1" t="s">
        <v>57</v>
      </c>
      <c r="GI25" s="1">
        <v>2016</v>
      </c>
      <c r="GJ25" s="1" t="s">
        <v>19</v>
      </c>
      <c r="GK25" s="1">
        <v>175516.3</v>
      </c>
      <c r="GL25" s="1">
        <v>10773649.5</v>
      </c>
      <c r="GM25" s="1">
        <v>1.6291257665287801E-2</v>
      </c>
      <c r="GN25" s="1"/>
      <c r="GO25" s="22">
        <v>1028</v>
      </c>
      <c r="GP25" s="1" t="s">
        <v>17</v>
      </c>
      <c r="GQ25" s="1">
        <v>2017</v>
      </c>
      <c r="GR25" s="1" t="s">
        <v>19</v>
      </c>
      <c r="GS25" s="1">
        <v>11770.5</v>
      </c>
      <c r="GT25" s="1">
        <v>3719735.5</v>
      </c>
      <c r="GU25" s="1">
        <v>3.1643378944551E-3</v>
      </c>
      <c r="GV25" s="1"/>
      <c r="GW25" s="22">
        <v>2224</v>
      </c>
      <c r="GX25" s="1" t="s">
        <v>61</v>
      </c>
      <c r="GY25" s="1">
        <v>2017</v>
      </c>
      <c r="GZ25" s="1" t="s">
        <v>19</v>
      </c>
      <c r="HA25" s="1">
        <v>385271.1</v>
      </c>
      <c r="HB25" s="1">
        <v>44107004.100000001</v>
      </c>
      <c r="HC25" s="1">
        <v>8.7349188153088998E-3</v>
      </c>
      <c r="HD25" s="1"/>
      <c r="HE25" s="22">
        <v>3420</v>
      </c>
      <c r="HF25" s="1" t="s">
        <v>44</v>
      </c>
      <c r="HG25" s="1">
        <v>2017</v>
      </c>
      <c r="HH25" s="1" t="s">
        <v>19</v>
      </c>
      <c r="HI25" s="1">
        <v>29464.2</v>
      </c>
      <c r="HJ25" s="1">
        <v>5855367.5</v>
      </c>
      <c r="HK25" s="1">
        <v>5.0319984185450001E-3</v>
      </c>
      <c r="HL25" s="1"/>
      <c r="HM25" s="22">
        <v>4616</v>
      </c>
      <c r="HN25" s="1" t="s">
        <v>38</v>
      </c>
      <c r="HO25" s="1">
        <v>2017</v>
      </c>
      <c r="HP25" s="1" t="s">
        <v>19</v>
      </c>
      <c r="HQ25" s="1">
        <v>30892.6</v>
      </c>
      <c r="HR25" s="1">
        <v>5923445.7000000002</v>
      </c>
      <c r="HS25" s="1">
        <v>5.2153090556734004E-3</v>
      </c>
      <c r="HT25" s="1"/>
      <c r="HU25" s="22">
        <v>5812</v>
      </c>
      <c r="HV25" s="1" t="s">
        <v>31</v>
      </c>
      <c r="HW25" s="1">
        <v>2017</v>
      </c>
      <c r="HX25" s="1" t="s">
        <v>19</v>
      </c>
      <c r="HY25" s="1">
        <v>99482.2</v>
      </c>
      <c r="HZ25" s="1">
        <v>8686095.3000000007</v>
      </c>
      <c r="IA25" s="1">
        <v>1.14530403551984E-2</v>
      </c>
      <c r="IB25" s="1"/>
      <c r="IC25" s="22">
        <v>7008</v>
      </c>
      <c r="ID25" s="1" t="s">
        <v>51</v>
      </c>
      <c r="IE25" s="1">
        <v>2017</v>
      </c>
      <c r="IF25" s="1" t="s">
        <v>19</v>
      </c>
      <c r="IG25" s="1">
        <v>25066.7</v>
      </c>
      <c r="IH25" s="1">
        <v>4472691.8</v>
      </c>
      <c r="II25" s="1">
        <v>5.6043879437434E-3</v>
      </c>
      <c r="IJ25" s="1"/>
      <c r="IK25" s="22">
        <v>8204</v>
      </c>
      <c r="IL25" s="1" t="s">
        <v>57</v>
      </c>
      <c r="IM25" s="1">
        <v>2017</v>
      </c>
      <c r="IN25" s="1" t="s">
        <v>19</v>
      </c>
      <c r="IO25" s="1">
        <v>180597.4</v>
      </c>
      <c r="IP25" s="1">
        <v>10750260.5</v>
      </c>
      <c r="IQ25" s="1">
        <v>1.6799351048283898E-2</v>
      </c>
      <c r="IR25" s="1"/>
      <c r="IS25" s="22">
        <v>1074</v>
      </c>
      <c r="IT25" s="1" t="s">
        <v>17</v>
      </c>
      <c r="IU25" s="1">
        <v>2018</v>
      </c>
      <c r="IV25" s="1" t="s">
        <v>19</v>
      </c>
      <c r="IW25" s="1">
        <v>12607.9</v>
      </c>
      <c r="IX25" s="1">
        <v>3904165.4</v>
      </c>
      <c r="IY25" s="1">
        <v>3.2293457649104E-3</v>
      </c>
      <c r="IZ25" s="1"/>
      <c r="JA25" s="22">
        <v>2270</v>
      </c>
      <c r="JB25" s="1" t="s">
        <v>61</v>
      </c>
      <c r="JC25" s="1">
        <v>2018</v>
      </c>
      <c r="JD25" s="1" t="s">
        <v>19</v>
      </c>
      <c r="JE25" s="1">
        <v>419858.1</v>
      </c>
      <c r="JF25" s="1">
        <v>46669099.200000003</v>
      </c>
      <c r="JG25" s="1">
        <v>8.9964903372292994E-3</v>
      </c>
      <c r="JH25" s="1"/>
      <c r="JI25" s="22">
        <v>3466</v>
      </c>
      <c r="JJ25" s="1" t="s">
        <v>44</v>
      </c>
      <c r="JK25" s="1">
        <v>2018</v>
      </c>
      <c r="JL25" s="1" t="s">
        <v>19</v>
      </c>
      <c r="JM25" s="1">
        <v>30329.599999999999</v>
      </c>
      <c r="JN25" s="1">
        <v>6336724.7000000002</v>
      </c>
      <c r="JO25" s="1">
        <v>4.7863212362688999E-3</v>
      </c>
      <c r="JP25" s="1"/>
      <c r="JQ25" s="22">
        <v>4662</v>
      </c>
      <c r="JR25" s="1" t="s">
        <v>38</v>
      </c>
      <c r="JS25" s="1">
        <v>2018</v>
      </c>
      <c r="JT25" s="1" t="s">
        <v>19</v>
      </c>
      <c r="JU25" s="1">
        <v>33315.199999999997</v>
      </c>
      <c r="JV25" s="1">
        <v>6390706</v>
      </c>
      <c r="JW25" s="1">
        <v>5.2130703556069998E-3</v>
      </c>
      <c r="JX25" s="1"/>
      <c r="JY25" s="22">
        <v>5858</v>
      </c>
      <c r="JZ25" s="1" t="s">
        <v>31</v>
      </c>
      <c r="KA25" s="1">
        <v>2018</v>
      </c>
      <c r="KB25" s="1" t="s">
        <v>19</v>
      </c>
      <c r="KC25" s="1">
        <v>110906.9</v>
      </c>
      <c r="KD25" s="1">
        <v>9443218.3000000007</v>
      </c>
      <c r="KE25" s="1">
        <v>1.1744608297364E-2</v>
      </c>
      <c r="KF25" s="1"/>
      <c r="KG25" s="22">
        <v>7054</v>
      </c>
      <c r="KH25" s="1" t="s">
        <v>51</v>
      </c>
      <c r="KI25" s="1">
        <v>2018</v>
      </c>
      <c r="KJ25" s="1" t="s">
        <v>19</v>
      </c>
      <c r="KK25" s="1">
        <v>26811.7</v>
      </c>
      <c r="KL25" s="1">
        <v>4803387.8</v>
      </c>
      <c r="KM25" s="1">
        <v>5.5818312233711E-3</v>
      </c>
      <c r="KN25" s="1"/>
      <c r="KO25" s="22">
        <v>8250</v>
      </c>
      <c r="KP25" s="1" t="s">
        <v>57</v>
      </c>
      <c r="KQ25" s="1">
        <v>2018</v>
      </c>
      <c r="KR25" s="1" t="s">
        <v>19</v>
      </c>
      <c r="KS25" s="1">
        <v>188905.3</v>
      </c>
      <c r="KT25" s="1">
        <v>11172914.4</v>
      </c>
      <c r="KU25" s="1">
        <v>1.6907432853866599E-2</v>
      </c>
      <c r="KV25" s="1"/>
      <c r="KW25" s="22">
        <v>1120</v>
      </c>
      <c r="KX25" s="1" t="s">
        <v>17</v>
      </c>
      <c r="KY25" s="1">
        <v>2019</v>
      </c>
      <c r="KZ25" s="1" t="s">
        <v>19</v>
      </c>
      <c r="LA25" s="1">
        <v>13078</v>
      </c>
      <c r="LB25" s="1">
        <v>3955328</v>
      </c>
      <c r="LC25" s="1">
        <v>3.3064261674378998E-3</v>
      </c>
      <c r="LD25" s="1"/>
      <c r="LE25" s="22">
        <v>2316</v>
      </c>
      <c r="LF25" s="1" t="s">
        <v>61</v>
      </c>
      <c r="LG25" s="1">
        <v>2019</v>
      </c>
      <c r="LH25" s="1" t="s">
        <v>19</v>
      </c>
      <c r="LI25" s="1">
        <v>425249.9</v>
      </c>
      <c r="LJ25" s="1">
        <v>48356774.5</v>
      </c>
      <c r="LK25" s="1">
        <v>8.7940087898127992E-3</v>
      </c>
      <c r="LL25" s="1"/>
      <c r="LM25" s="22">
        <v>3512</v>
      </c>
      <c r="LN25" s="1" t="s">
        <v>44</v>
      </c>
      <c r="LO25" s="1">
        <v>2019</v>
      </c>
      <c r="LP25" s="1" t="s">
        <v>19</v>
      </c>
      <c r="LQ25" s="1">
        <v>30386.3</v>
      </c>
      <c r="LR25" s="1">
        <v>6269787.0999999996</v>
      </c>
      <c r="LS25" s="1">
        <v>4.846464403871E-3</v>
      </c>
      <c r="LT25" s="1"/>
      <c r="LU25" s="22">
        <v>4708</v>
      </c>
      <c r="LV25" s="1" t="s">
        <v>38</v>
      </c>
      <c r="LW25" s="1">
        <v>2019</v>
      </c>
      <c r="LX25" s="1" t="s">
        <v>19</v>
      </c>
      <c r="LY25" s="1">
        <v>33013.800000000003</v>
      </c>
      <c r="LZ25" s="1">
        <v>6182094.5</v>
      </c>
      <c r="MA25" s="1">
        <v>5.3402289466781003E-3</v>
      </c>
      <c r="MB25" s="1"/>
      <c r="MC25" s="22">
        <v>5904</v>
      </c>
      <c r="MD25" s="1" t="s">
        <v>31</v>
      </c>
      <c r="ME25" s="1">
        <v>2019</v>
      </c>
      <c r="MF25" s="1" t="s">
        <v>19</v>
      </c>
      <c r="MG25" s="1">
        <v>108117.4</v>
      </c>
      <c r="MH25" s="1">
        <v>9237079</v>
      </c>
      <c r="MI25" s="1">
        <v>1.17047174761631E-2</v>
      </c>
      <c r="MJ25" s="1"/>
      <c r="MK25" s="22">
        <v>7100</v>
      </c>
      <c r="ML25" s="1" t="s">
        <v>51</v>
      </c>
      <c r="MM25" s="1">
        <v>2019</v>
      </c>
      <c r="MN25" s="1" t="s">
        <v>19</v>
      </c>
      <c r="MO25" s="1">
        <v>26110.5</v>
      </c>
      <c r="MP25" s="1">
        <v>4608662</v>
      </c>
      <c r="MQ25" s="1">
        <v>5.6655272180948998E-3</v>
      </c>
      <c r="MR25" s="1"/>
      <c r="MS25" s="22">
        <v>8296</v>
      </c>
      <c r="MT25" s="1" t="s">
        <v>57</v>
      </c>
      <c r="MU25" s="1">
        <v>2019</v>
      </c>
      <c r="MV25" s="1" t="s">
        <v>19</v>
      </c>
      <c r="MW25" s="1">
        <v>176770</v>
      </c>
      <c r="MX25" s="1">
        <v>11338077</v>
      </c>
      <c r="MY25" s="1">
        <v>1.5590827262859401E-2</v>
      </c>
      <c r="MZ25" s="1"/>
      <c r="NA25" s="22">
        <v>1166</v>
      </c>
      <c r="NB25" s="1" t="s">
        <v>17</v>
      </c>
      <c r="NC25" s="1">
        <v>2020</v>
      </c>
      <c r="ND25" s="1" t="s">
        <v>19</v>
      </c>
      <c r="NE25" s="1">
        <v>11570.1</v>
      </c>
      <c r="NF25" s="1">
        <v>3784752.3</v>
      </c>
      <c r="NG25" s="1">
        <v>3.0570296502627002E-3</v>
      </c>
      <c r="NH25" s="1"/>
      <c r="NI25" s="22">
        <v>2362</v>
      </c>
      <c r="NJ25" s="1" t="s">
        <v>61</v>
      </c>
      <c r="NK25" s="1">
        <v>2020</v>
      </c>
      <c r="NL25" s="1" t="s">
        <v>19</v>
      </c>
      <c r="NM25" s="1">
        <v>435668.4</v>
      </c>
      <c r="NN25" s="1">
        <v>47421769.399999999</v>
      </c>
      <c r="NO25" s="1">
        <v>9.1870970972247005E-3</v>
      </c>
      <c r="NP25" s="1"/>
      <c r="NQ25" s="22">
        <v>3558</v>
      </c>
      <c r="NR25" s="1" t="s">
        <v>44</v>
      </c>
      <c r="NS25" s="1">
        <v>2020</v>
      </c>
      <c r="NT25" s="1" t="s">
        <v>19</v>
      </c>
      <c r="NU25" s="1">
        <v>27721.8</v>
      </c>
      <c r="NV25" s="1">
        <v>5955345.3666666672</v>
      </c>
      <c r="NW25" s="1">
        <v>4.6549441372728002E-3</v>
      </c>
      <c r="NX25" s="1"/>
      <c r="NY25" s="22">
        <v>4754</v>
      </c>
      <c r="NZ25" s="1" t="s">
        <v>38</v>
      </c>
      <c r="OA25" s="1">
        <v>2020</v>
      </c>
      <c r="OB25" s="1" t="s">
        <v>19</v>
      </c>
      <c r="OC25" s="1">
        <v>29691</v>
      </c>
      <c r="OD25" s="1">
        <v>5990228.4000000004</v>
      </c>
      <c r="OE25" s="1">
        <v>4.9565722736046999E-3</v>
      </c>
      <c r="OF25" s="1"/>
      <c r="OG25" s="22">
        <v>5950</v>
      </c>
      <c r="OH25" s="1" t="s">
        <v>31</v>
      </c>
      <c r="OI25" s="1">
        <v>2020</v>
      </c>
      <c r="OJ25" s="1" t="s">
        <v>19</v>
      </c>
      <c r="OK25" s="1">
        <v>105660</v>
      </c>
      <c r="OL25" s="1">
        <v>9257180.0999999996</v>
      </c>
      <c r="OM25" s="1">
        <v>1.14138429693076E-2</v>
      </c>
      <c r="ON25" s="1"/>
      <c r="OO25" s="22">
        <v>7146</v>
      </c>
      <c r="OP25" s="1" t="s">
        <v>51</v>
      </c>
      <c r="OQ25" s="1">
        <v>2020</v>
      </c>
      <c r="OR25" s="1" t="s">
        <v>19</v>
      </c>
      <c r="OS25" s="1">
        <v>25870.2</v>
      </c>
      <c r="OT25" s="1">
        <v>4352046.4000000004</v>
      </c>
      <c r="OU25" s="1">
        <v>5.9443759606974001E-3</v>
      </c>
      <c r="OV25" s="1"/>
      <c r="OW25" s="22">
        <v>8342</v>
      </c>
      <c r="OX25" s="1" t="s">
        <v>57</v>
      </c>
      <c r="OY25" s="1">
        <v>2020</v>
      </c>
      <c r="OZ25" s="1" t="s">
        <v>19</v>
      </c>
      <c r="PA25" s="1">
        <v>161911.4</v>
      </c>
      <c r="PB25" s="1">
        <v>11082248.733333331</v>
      </c>
      <c r="PC25" s="1">
        <v>1.46099770810052E-2</v>
      </c>
      <c r="PD25" s="1"/>
      <c r="PE25" s="22">
        <v>8388</v>
      </c>
      <c r="PF25" s="1" t="s">
        <v>17</v>
      </c>
      <c r="PG25" s="1">
        <v>2021</v>
      </c>
      <c r="PH25" s="1" t="s">
        <v>19</v>
      </c>
      <c r="PI25" s="1">
        <v>14132.645703275941</v>
      </c>
      <c r="PJ25" s="1">
        <v>4622999.2247741111</v>
      </c>
      <c r="PK25" s="1">
        <v>3.0570296502627002E-3</v>
      </c>
      <c r="PL25" s="1"/>
      <c r="PM25" s="22">
        <v>9308</v>
      </c>
      <c r="PN25" s="1" t="s">
        <v>61</v>
      </c>
      <c r="PO25" s="1">
        <v>2021</v>
      </c>
      <c r="PP25" s="1" t="s">
        <v>19</v>
      </c>
      <c r="PQ25" s="1">
        <v>483146.11779845459</v>
      </c>
      <c r="PR25" s="1">
        <v>52589638.782026872</v>
      </c>
      <c r="PS25" s="1">
        <v>9.1870970972247005E-3</v>
      </c>
      <c r="PT25" s="1"/>
      <c r="PU25" s="22">
        <v>10228</v>
      </c>
      <c r="PV25" s="1" t="s">
        <v>44</v>
      </c>
      <c r="PW25" s="1">
        <v>2021</v>
      </c>
      <c r="PX25" s="1" t="s">
        <v>19</v>
      </c>
      <c r="PY25" s="1">
        <v>32312.04932400832</v>
      </c>
      <c r="PZ25" s="1">
        <v>6941447.2808129201</v>
      </c>
      <c r="QA25" s="1">
        <v>4.6549441372728002E-3</v>
      </c>
      <c r="QB25" s="1"/>
      <c r="QC25" s="22">
        <v>11148</v>
      </c>
      <c r="QD25" s="1" t="s">
        <v>38</v>
      </c>
      <c r="QE25" s="1">
        <v>2021</v>
      </c>
      <c r="QF25" s="1" t="s">
        <v>19</v>
      </c>
      <c r="QG25" s="1">
        <v>33262.311741623969</v>
      </c>
      <c r="QH25" s="1">
        <v>6710748.8614170318</v>
      </c>
      <c r="QI25" s="1">
        <v>4.9565722736046999E-3</v>
      </c>
      <c r="QJ25" s="1"/>
      <c r="QK25" s="22">
        <v>12068</v>
      </c>
      <c r="QL25" s="1" t="s">
        <v>31</v>
      </c>
      <c r="QM25" s="1">
        <v>2021</v>
      </c>
      <c r="QN25" s="1" t="s">
        <v>19</v>
      </c>
      <c r="QO25" s="1">
        <v>116605.3434649522</v>
      </c>
      <c r="QP25" s="1">
        <v>10216133.49495957</v>
      </c>
      <c r="QQ25" s="1">
        <v>1.14138429693076E-2</v>
      </c>
      <c r="QR25" s="1"/>
      <c r="QS25" s="22">
        <v>12988</v>
      </c>
      <c r="QT25" s="1" t="s">
        <v>51</v>
      </c>
      <c r="QU25" s="1">
        <v>2021</v>
      </c>
      <c r="QV25" s="1" t="s">
        <v>19</v>
      </c>
      <c r="QW25" s="1">
        <v>29555.538481137031</v>
      </c>
      <c r="QX25" s="1">
        <v>4972017.0252605537</v>
      </c>
      <c r="QY25" s="1">
        <v>5.9443759606974001E-3</v>
      </c>
      <c r="QZ25" s="1"/>
      <c r="RA25" s="22">
        <v>13908</v>
      </c>
      <c r="RB25" s="1" t="s">
        <v>57</v>
      </c>
      <c r="RC25" s="1">
        <v>2021</v>
      </c>
      <c r="RD25" s="1" t="s">
        <v>19</v>
      </c>
      <c r="RE25" s="1">
        <v>161433.42520186599</v>
      </c>
      <c r="RF25" s="1">
        <v>11049533.09007922</v>
      </c>
      <c r="RG25" s="1">
        <v>1.46099770810052E-2</v>
      </c>
      <c r="RH25" s="1"/>
      <c r="RI25" s="22">
        <v>8434</v>
      </c>
      <c r="RJ25" s="1" t="s">
        <v>17</v>
      </c>
      <c r="RK25" s="1">
        <v>2022</v>
      </c>
      <c r="RL25" s="1" t="s">
        <v>19</v>
      </c>
      <c r="RM25" s="1">
        <v>15306.86046881033</v>
      </c>
      <c r="RN25" s="1">
        <v>5007102.3902221443</v>
      </c>
      <c r="RO25" s="1">
        <v>3.0570296502627002E-3</v>
      </c>
      <c r="RP25" s="1"/>
      <c r="RQ25" s="22">
        <v>9354</v>
      </c>
      <c r="RR25" s="1" t="s">
        <v>61</v>
      </c>
      <c r="RS25" s="1">
        <v>2022</v>
      </c>
      <c r="RT25" s="1" t="s">
        <v>19</v>
      </c>
      <c r="RU25" s="1">
        <v>530595.27266239165</v>
      </c>
      <c r="RV25" s="1">
        <v>57754399.13688051</v>
      </c>
      <c r="RW25" s="1">
        <v>9.1870970972247005E-3</v>
      </c>
      <c r="RX25" s="1"/>
      <c r="RY25" s="22">
        <v>10274</v>
      </c>
      <c r="RZ25" s="1" t="s">
        <v>44</v>
      </c>
      <c r="SA25" s="1">
        <v>2022</v>
      </c>
      <c r="SB25" s="1" t="s">
        <v>19</v>
      </c>
      <c r="SC25" s="1">
        <v>32011.062849768681</v>
      </c>
      <c r="SD25" s="1">
        <v>6876787.7563667288</v>
      </c>
      <c r="SE25" s="1">
        <v>4.6549441372728002E-3</v>
      </c>
      <c r="SF25" s="1"/>
      <c r="SG25" s="22">
        <v>11194</v>
      </c>
      <c r="SH25" s="1" t="s">
        <v>38</v>
      </c>
      <c r="SI25" s="1">
        <v>2022</v>
      </c>
      <c r="SJ25" s="1" t="s">
        <v>19</v>
      </c>
      <c r="SK25" s="1">
        <v>31354.659413201429</v>
      </c>
      <c r="SL25" s="1">
        <v>6325875.5612572851</v>
      </c>
      <c r="SM25" s="1">
        <v>4.9565722736046999E-3</v>
      </c>
      <c r="SN25" s="1"/>
      <c r="SO25" s="22">
        <v>12114</v>
      </c>
      <c r="SP25" s="1" t="s">
        <v>31</v>
      </c>
      <c r="SQ25" s="1">
        <v>2022</v>
      </c>
      <c r="SR25" s="1" t="s">
        <v>19</v>
      </c>
      <c r="SS25" s="1">
        <v>111652.3717431352</v>
      </c>
      <c r="ST25" s="1">
        <v>9782189.227885304</v>
      </c>
      <c r="SU25" s="1">
        <v>1.14138429693076E-2</v>
      </c>
      <c r="SV25" s="1"/>
      <c r="SW25" s="22">
        <v>13034</v>
      </c>
      <c r="SX25" s="1" t="s">
        <v>51</v>
      </c>
      <c r="SY25" s="1">
        <v>2022</v>
      </c>
      <c r="SZ25" s="1" t="s">
        <v>19</v>
      </c>
      <c r="TA25" s="1">
        <v>28536.452132656319</v>
      </c>
      <c r="TB25" s="1">
        <v>4800579.963537232</v>
      </c>
      <c r="TC25" s="1">
        <v>5.9443759606974001E-3</v>
      </c>
      <c r="TD25" s="1"/>
      <c r="TE25" s="22">
        <v>13954</v>
      </c>
      <c r="TF25" s="1" t="s">
        <v>57</v>
      </c>
      <c r="TG25" s="1">
        <v>2022</v>
      </c>
      <c r="TH25" s="1" t="s">
        <v>19</v>
      </c>
      <c r="TI25" s="1">
        <v>136551.5052312286</v>
      </c>
      <c r="TJ25" s="1">
        <v>9346455.8140041605</v>
      </c>
      <c r="TK25" s="1">
        <v>1.46099770810052E-2</v>
      </c>
      <c r="TL25" s="1"/>
      <c r="TM25" s="22">
        <v>8480</v>
      </c>
      <c r="TN25" s="1" t="s">
        <v>17</v>
      </c>
      <c r="TO25" s="1">
        <v>2023</v>
      </c>
      <c r="TP25" s="1" t="s">
        <v>19</v>
      </c>
      <c r="TQ25" s="1">
        <v>15187.573162688381</v>
      </c>
      <c r="TR25" s="1">
        <v>4968081.7329930915</v>
      </c>
      <c r="TS25" s="1">
        <v>3.0570296502627002E-3</v>
      </c>
      <c r="TT25" s="1"/>
      <c r="TU25" s="22">
        <v>9400</v>
      </c>
      <c r="TV25" s="1" t="s">
        <v>61</v>
      </c>
      <c r="TW25" s="1">
        <v>2023</v>
      </c>
      <c r="TX25" s="1" t="s">
        <v>19</v>
      </c>
      <c r="TY25" s="1">
        <v>565560.38493216643</v>
      </c>
      <c r="TZ25" s="1">
        <v>61560292.543660469</v>
      </c>
      <c r="UA25" s="1">
        <v>9.1870970972247005E-3</v>
      </c>
      <c r="UB25" s="1"/>
      <c r="UC25" s="22">
        <v>10320</v>
      </c>
      <c r="UD25" s="1" t="s">
        <v>44</v>
      </c>
      <c r="UE25" s="1">
        <v>2023</v>
      </c>
      <c r="UF25" s="1" t="s">
        <v>19</v>
      </c>
      <c r="UG25" s="1">
        <v>34640.788254139792</v>
      </c>
      <c r="UH25" s="1">
        <v>7441719.4347760417</v>
      </c>
      <c r="UI25" s="1">
        <v>4.6549441372728002E-3</v>
      </c>
      <c r="UJ25" s="1"/>
      <c r="UK25" s="22">
        <v>11240</v>
      </c>
      <c r="UL25" s="1" t="s">
        <v>38</v>
      </c>
      <c r="UM25" s="1">
        <v>2023</v>
      </c>
      <c r="UN25" s="1" t="s">
        <v>19</v>
      </c>
      <c r="UO25" s="1">
        <v>34219.89423058703</v>
      </c>
      <c r="UP25" s="1">
        <v>6903943.3587640161</v>
      </c>
      <c r="UQ25" s="1">
        <v>4.9565722736046999E-3</v>
      </c>
      <c r="UR25" s="1"/>
      <c r="US25" s="22">
        <v>12160</v>
      </c>
      <c r="UT25" s="1" t="s">
        <v>31</v>
      </c>
      <c r="UU25" s="1">
        <v>2023</v>
      </c>
      <c r="UV25" s="1" t="s">
        <v>19</v>
      </c>
      <c r="UW25" s="1">
        <v>121362.5561528262</v>
      </c>
      <c r="UX25" s="1">
        <v>10632926.743356841</v>
      </c>
      <c r="UY25" s="1">
        <v>1.14138429693076E-2</v>
      </c>
      <c r="UZ25" s="1"/>
      <c r="VA25" s="22">
        <v>13080</v>
      </c>
      <c r="VB25" s="1" t="s">
        <v>51</v>
      </c>
      <c r="VC25" s="1">
        <v>2023</v>
      </c>
      <c r="VD25" s="1" t="s">
        <v>19</v>
      </c>
      <c r="VE25" s="1">
        <v>31256.27614548997</v>
      </c>
      <c r="VF25" s="1">
        <v>5258125.7228930313</v>
      </c>
      <c r="VG25" s="1">
        <v>5.9443759606974001E-3</v>
      </c>
      <c r="VH25" s="1"/>
      <c r="VI25" s="22">
        <v>14000</v>
      </c>
      <c r="VJ25" s="1" t="s">
        <v>57</v>
      </c>
      <c r="VK25" s="1">
        <v>2023</v>
      </c>
      <c r="VL25" s="1" t="s">
        <v>19</v>
      </c>
      <c r="VM25" s="1">
        <v>134972.45846179331</v>
      </c>
      <c r="VN25" s="1">
        <v>9238375.7834414635</v>
      </c>
      <c r="VO25" s="1">
        <v>1.46099770810052E-2</v>
      </c>
      <c r="VP25" s="1"/>
      <c r="VQ25" s="22">
        <v>8526</v>
      </c>
      <c r="VR25" s="1" t="s">
        <v>17</v>
      </c>
      <c r="VS25" s="1">
        <v>2024</v>
      </c>
      <c r="VT25" s="1" t="s">
        <v>19</v>
      </c>
      <c r="VU25" s="1">
        <v>15662.136780658029</v>
      </c>
      <c r="VV25" s="1">
        <v>5123318.5714479852</v>
      </c>
      <c r="VW25" s="1">
        <v>3.0570296502627002E-3</v>
      </c>
      <c r="VX25" s="1"/>
      <c r="VY25" s="22">
        <v>9446</v>
      </c>
      <c r="VZ25" s="1" t="s">
        <v>61</v>
      </c>
      <c r="WA25" s="1">
        <v>2024</v>
      </c>
      <c r="WB25" s="1" t="s">
        <v>19</v>
      </c>
      <c r="WC25" s="1">
        <v>595433.134019227</v>
      </c>
      <c r="WD25" s="1">
        <v>64811890.820126347</v>
      </c>
      <c r="WE25" s="1">
        <v>9.1870970972247005E-3</v>
      </c>
      <c r="WF25" s="1"/>
      <c r="WG25" s="22">
        <v>10366</v>
      </c>
      <c r="WH25" s="1" t="s">
        <v>44</v>
      </c>
      <c r="WI25" s="1">
        <v>2024</v>
      </c>
      <c r="WJ25" s="1" t="s">
        <v>19</v>
      </c>
      <c r="WK25" s="1">
        <v>37457.088266005769</v>
      </c>
      <c r="WL25" s="1">
        <v>8046732.0684004631</v>
      </c>
      <c r="WM25" s="1">
        <v>4.6549441372728002E-3</v>
      </c>
      <c r="WN25" s="1"/>
      <c r="WO25" s="22">
        <v>11286</v>
      </c>
      <c r="WP25" s="1" t="s">
        <v>38</v>
      </c>
      <c r="WQ25" s="1">
        <v>2024</v>
      </c>
      <c r="WR25" s="1" t="s">
        <v>19</v>
      </c>
      <c r="WS25" s="1">
        <v>35456.117525764748</v>
      </c>
      <c r="WT25" s="1">
        <v>7153354.2877160665</v>
      </c>
      <c r="WU25" s="1">
        <v>4.9565722736046999E-3</v>
      </c>
      <c r="WV25" s="1"/>
      <c r="WW25" s="22">
        <v>12206</v>
      </c>
      <c r="WX25" s="1" t="s">
        <v>31</v>
      </c>
      <c r="WY25" s="1">
        <v>2024</v>
      </c>
      <c r="WZ25" s="1" t="s">
        <v>19</v>
      </c>
      <c r="XA25" s="1">
        <v>124962.1089098348</v>
      </c>
      <c r="XB25" s="1">
        <v>10948294.03609846</v>
      </c>
      <c r="XC25" s="1">
        <v>1.14138429693076E-2</v>
      </c>
      <c r="XD25" s="1"/>
      <c r="XE25" s="22">
        <v>13126</v>
      </c>
      <c r="XF25" s="1" t="s">
        <v>51</v>
      </c>
      <c r="XG25" s="1">
        <v>2024</v>
      </c>
      <c r="XH25" s="1" t="s">
        <v>19</v>
      </c>
      <c r="XI25" s="1">
        <v>32180.696234822481</v>
      </c>
      <c r="XJ25" s="1">
        <v>5413637.436055948</v>
      </c>
      <c r="XK25" s="1">
        <v>5.9443759606974001E-3</v>
      </c>
      <c r="XL25" s="1"/>
      <c r="XM25" s="22">
        <v>14046</v>
      </c>
      <c r="XN25" s="1" t="s">
        <v>57</v>
      </c>
      <c r="XO25" s="1">
        <v>2024</v>
      </c>
      <c r="XP25" s="1" t="s">
        <v>19</v>
      </c>
      <c r="XQ25" s="1">
        <v>128983.0369967166</v>
      </c>
      <c r="XR25" s="1">
        <v>8828421.583522588</v>
      </c>
      <c r="XS25" s="1">
        <v>1.46099770810052E-2</v>
      </c>
      <c r="XT25" s="1"/>
    </row>
    <row r="26" spans="1:644" x14ac:dyDescent="0.25">
      <c r="A26" s="2">
        <v>17</v>
      </c>
      <c r="B26" s="1" t="s">
        <v>17</v>
      </c>
      <c r="C26" s="1" t="s">
        <v>42</v>
      </c>
      <c r="D26" s="1">
        <v>2.1562952795346701E-3</v>
      </c>
      <c r="E26" s="1">
        <v>2.3338643400706888E-3</v>
      </c>
      <c r="F26" s="1">
        <v>2.4214884360977502E-3</v>
      </c>
      <c r="G26" s="1">
        <v>2.3607323692773309E-3</v>
      </c>
      <c r="H26" s="1">
        <v>2.303386019455015E-3</v>
      </c>
      <c r="I26" s="1">
        <v>2.3563911766609491E-3</v>
      </c>
      <c r="J26" s="1">
        <v>2.1978452856743101E-3</v>
      </c>
      <c r="K26" s="1">
        <v>2.197845285674304E-3</v>
      </c>
      <c r="L26" s="1">
        <v>2.1978452856743049E-3</v>
      </c>
      <c r="M26" s="1">
        <v>2.197845285674304E-3</v>
      </c>
      <c r="N26" s="1">
        <v>2.1978452856743049E-3</v>
      </c>
      <c r="O26" s="1">
        <v>2.2655803681334479E-3</v>
      </c>
      <c r="P26" s="1"/>
      <c r="Q26" s="2">
        <v>130</v>
      </c>
      <c r="R26" s="1" t="s">
        <v>38</v>
      </c>
      <c r="S26" s="1" t="s">
        <v>29</v>
      </c>
      <c r="T26" s="1">
        <v>6.8151973751403708E-2</v>
      </c>
      <c r="U26" s="1"/>
      <c r="V26" t="s">
        <v>57</v>
      </c>
      <c r="AC26" s="22">
        <v>891</v>
      </c>
      <c r="AD26" s="1" t="s">
        <v>17</v>
      </c>
      <c r="AE26" s="1">
        <v>2014</v>
      </c>
      <c r="AF26" s="1" t="s">
        <v>42</v>
      </c>
      <c r="AG26" s="1">
        <v>8815.4</v>
      </c>
      <c r="AH26" s="1">
        <v>4088215.6</v>
      </c>
      <c r="AI26" s="1">
        <v>2.1562952795345998E-3</v>
      </c>
      <c r="AJ26" s="1"/>
      <c r="AK26" s="22">
        <v>2087</v>
      </c>
      <c r="AL26" s="1" t="s">
        <v>61</v>
      </c>
      <c r="AM26" s="1">
        <v>2014</v>
      </c>
      <c r="AN26" s="1" t="s">
        <v>42</v>
      </c>
      <c r="AO26" s="1">
        <v>126580.5</v>
      </c>
      <c r="AP26" s="1">
        <v>40350049.200000003</v>
      </c>
      <c r="AQ26" s="1">
        <v>3.1370593719127001E-3</v>
      </c>
      <c r="AR26" s="1"/>
      <c r="AS26" s="22">
        <v>3283</v>
      </c>
      <c r="AT26" s="1" t="s">
        <v>44</v>
      </c>
      <c r="AU26" s="1">
        <v>2014</v>
      </c>
      <c r="AV26" s="1" t="s">
        <v>42</v>
      </c>
      <c r="AW26" s="1">
        <v>20969.8</v>
      </c>
      <c r="AX26" s="1">
        <v>6735816.8000000007</v>
      </c>
      <c r="AY26" s="1">
        <v>3.1131784938093002E-3</v>
      </c>
      <c r="AZ26" s="1"/>
      <c r="BA26" s="22">
        <v>4479</v>
      </c>
      <c r="BB26" s="1" t="s">
        <v>38</v>
      </c>
      <c r="BC26" s="1">
        <v>2014</v>
      </c>
      <c r="BD26" s="1" t="s">
        <v>42</v>
      </c>
      <c r="BE26" s="1">
        <v>27087.9</v>
      </c>
      <c r="BF26" s="1">
        <v>6538596.7000000002</v>
      </c>
      <c r="BG26" s="1">
        <v>4.1427696557580001E-3</v>
      </c>
      <c r="BH26" s="1"/>
      <c r="BI26" s="22">
        <v>5675</v>
      </c>
      <c r="BJ26" s="1" t="s">
        <v>31</v>
      </c>
      <c r="BK26" s="1">
        <v>2014</v>
      </c>
      <c r="BL26" s="1" t="s">
        <v>42</v>
      </c>
      <c r="BM26" s="1">
        <v>138568.70000000001</v>
      </c>
      <c r="BN26" s="1">
        <v>9155477.5</v>
      </c>
      <c r="BO26" s="1">
        <v>1.51350598589751E-2</v>
      </c>
      <c r="BP26" s="1"/>
      <c r="BQ26" s="22">
        <v>6871</v>
      </c>
      <c r="BR26" s="1" t="s">
        <v>51</v>
      </c>
      <c r="BS26" s="1">
        <v>2014</v>
      </c>
      <c r="BT26" s="1" t="s">
        <v>42</v>
      </c>
      <c r="BU26" s="1">
        <v>51857.5</v>
      </c>
      <c r="BV26" s="1">
        <v>4981875.5</v>
      </c>
      <c r="BW26" s="1">
        <v>1.0409232426623199E-2</v>
      </c>
      <c r="BX26" s="1"/>
      <c r="BY26" s="22">
        <v>8067</v>
      </c>
      <c r="BZ26" s="1" t="s">
        <v>57</v>
      </c>
      <c r="CA26" s="1">
        <v>2014</v>
      </c>
      <c r="CB26" s="1" t="s">
        <v>42</v>
      </c>
      <c r="CC26" s="1">
        <v>156098.79999999999</v>
      </c>
      <c r="CD26" s="1">
        <v>11026913.800000001</v>
      </c>
      <c r="CE26" s="1">
        <v>1.41561639848857E-2</v>
      </c>
      <c r="CF26" s="1"/>
      <c r="CG26" s="22">
        <v>937</v>
      </c>
      <c r="CH26" s="1" t="s">
        <v>17</v>
      </c>
      <c r="CI26" s="1">
        <v>2015</v>
      </c>
      <c r="CJ26" s="1" t="s">
        <v>42</v>
      </c>
      <c r="CK26" s="1">
        <v>8297.2000000000007</v>
      </c>
      <c r="CL26" s="1">
        <v>3555133.8</v>
      </c>
      <c r="CM26" s="1">
        <v>2.3338643400705999E-3</v>
      </c>
      <c r="CN26" s="1"/>
      <c r="CO26" s="22">
        <v>2133</v>
      </c>
      <c r="CP26" s="1" t="s">
        <v>61</v>
      </c>
      <c r="CQ26" s="1">
        <v>2015</v>
      </c>
      <c r="CR26" s="1" t="s">
        <v>42</v>
      </c>
      <c r="CS26" s="1">
        <v>128649.60000000001</v>
      </c>
      <c r="CT26" s="1">
        <v>41208556.399999999</v>
      </c>
      <c r="CU26" s="1">
        <v>3.1219147487533999E-3</v>
      </c>
      <c r="CV26" s="1"/>
      <c r="CW26" s="22">
        <v>3329</v>
      </c>
      <c r="CX26" s="1" t="s">
        <v>44</v>
      </c>
      <c r="CY26" s="1">
        <v>2015</v>
      </c>
      <c r="CZ26" s="1" t="s">
        <v>42</v>
      </c>
      <c r="DA26" s="1">
        <v>19706.3</v>
      </c>
      <c r="DB26" s="1">
        <v>6404349.4000000004</v>
      </c>
      <c r="DC26" s="1">
        <v>3.0770182526268001E-3</v>
      </c>
      <c r="DD26" s="1"/>
      <c r="DE26" s="22">
        <v>4525</v>
      </c>
      <c r="DF26" s="1" t="s">
        <v>38</v>
      </c>
      <c r="DG26" s="1">
        <v>2015</v>
      </c>
      <c r="DH26" s="1" t="s">
        <v>42</v>
      </c>
      <c r="DI26" s="1">
        <v>22082.7</v>
      </c>
      <c r="DJ26" s="1">
        <v>5531517.5999999996</v>
      </c>
      <c r="DK26" s="1">
        <v>3.9921594030541997E-3</v>
      </c>
      <c r="DL26" s="1"/>
      <c r="DM26" s="22">
        <v>5721</v>
      </c>
      <c r="DN26" s="1" t="s">
        <v>31</v>
      </c>
      <c r="DO26" s="1">
        <v>2015</v>
      </c>
      <c r="DP26" s="1" t="s">
        <v>42</v>
      </c>
      <c r="DQ26" s="1">
        <v>113359.3</v>
      </c>
      <c r="DR26" s="1">
        <v>7894528</v>
      </c>
      <c r="DS26" s="1">
        <v>1.4359224516019099E-2</v>
      </c>
      <c r="DT26" s="1"/>
      <c r="DU26" s="22">
        <v>6917</v>
      </c>
      <c r="DV26" s="1" t="s">
        <v>51</v>
      </c>
      <c r="DW26" s="1">
        <v>2015</v>
      </c>
      <c r="DX26" s="1" t="s">
        <v>42</v>
      </c>
      <c r="DY26" s="1">
        <v>43375</v>
      </c>
      <c r="DZ26" s="1">
        <v>4209274.5999999996</v>
      </c>
      <c r="EA26" s="1">
        <v>1.03046258849446E-2</v>
      </c>
      <c r="EB26" s="1"/>
      <c r="EC26" s="22">
        <v>8113</v>
      </c>
      <c r="ED26" s="1" t="s">
        <v>57</v>
      </c>
      <c r="EE26" s="1">
        <v>2015</v>
      </c>
      <c r="EF26" s="1" t="s">
        <v>42</v>
      </c>
      <c r="EG26" s="1">
        <v>135811.6</v>
      </c>
      <c r="EH26" s="1">
        <v>9729477.0999999996</v>
      </c>
      <c r="EI26" s="1">
        <v>1.39587768802087E-2</v>
      </c>
      <c r="EJ26" s="1"/>
      <c r="EK26" s="22">
        <v>983</v>
      </c>
      <c r="EL26" s="1" t="s">
        <v>17</v>
      </c>
      <c r="EM26" s="1">
        <v>2016</v>
      </c>
      <c r="EN26" s="1" t="s">
        <v>42</v>
      </c>
      <c r="EO26" s="1">
        <v>8386.6</v>
      </c>
      <c r="EP26" s="1">
        <v>3463407</v>
      </c>
      <c r="EQ26" s="1">
        <v>2.4214884360976999E-3</v>
      </c>
      <c r="ER26" s="1"/>
      <c r="ES26" s="22">
        <v>2179</v>
      </c>
      <c r="ET26" s="1" t="s">
        <v>61</v>
      </c>
      <c r="EU26" s="1">
        <v>2016</v>
      </c>
      <c r="EV26" s="1" t="s">
        <v>42</v>
      </c>
      <c r="EW26" s="1">
        <v>121311.1</v>
      </c>
      <c r="EX26" s="1">
        <v>42141395.200000003</v>
      </c>
      <c r="EY26" s="1">
        <v>2.8786683360686998E-3</v>
      </c>
      <c r="EZ26" s="1"/>
      <c r="FA26" s="22">
        <v>3375</v>
      </c>
      <c r="FB26" s="1" t="s">
        <v>44</v>
      </c>
      <c r="FC26" s="1">
        <v>2016</v>
      </c>
      <c r="FD26" s="1" t="s">
        <v>42</v>
      </c>
      <c r="FE26" s="1">
        <v>17248.2</v>
      </c>
      <c r="FF26" s="1">
        <v>5868597.7999999998</v>
      </c>
      <c r="FG26" s="1">
        <v>2.9390666370081998E-3</v>
      </c>
      <c r="FH26" s="1"/>
      <c r="FI26" s="22">
        <v>4571</v>
      </c>
      <c r="FJ26" s="1" t="s">
        <v>38</v>
      </c>
      <c r="FK26" s="1">
        <v>2016</v>
      </c>
      <c r="FL26" s="1" t="s">
        <v>42</v>
      </c>
      <c r="FM26" s="1">
        <v>22329.1</v>
      </c>
      <c r="FN26" s="1">
        <v>5582986.5</v>
      </c>
      <c r="FO26" s="1">
        <v>3.9994902369904998E-3</v>
      </c>
      <c r="FP26" s="1"/>
      <c r="FQ26" s="22">
        <v>5767</v>
      </c>
      <c r="FR26" s="1" t="s">
        <v>31</v>
      </c>
      <c r="FS26" s="1">
        <v>2016</v>
      </c>
      <c r="FT26" s="1" t="s">
        <v>42</v>
      </c>
      <c r="FU26" s="1">
        <v>115015.3</v>
      </c>
      <c r="FV26" s="1">
        <v>8130820.9000000004</v>
      </c>
      <c r="FW26" s="1">
        <v>1.41455950653149E-2</v>
      </c>
      <c r="FX26" s="1"/>
      <c r="FY26" s="22">
        <v>6963</v>
      </c>
      <c r="FZ26" s="1" t="s">
        <v>51</v>
      </c>
      <c r="GA26" s="1">
        <v>2016</v>
      </c>
      <c r="GB26" s="1" t="s">
        <v>42</v>
      </c>
      <c r="GC26" s="1">
        <v>43490.7</v>
      </c>
      <c r="GD26" s="1">
        <v>4230502.5999999996</v>
      </c>
      <c r="GE26" s="1">
        <v>1.02802678811732E-2</v>
      </c>
      <c r="GF26" s="1"/>
      <c r="GG26" s="22">
        <v>8159</v>
      </c>
      <c r="GH26" s="1" t="s">
        <v>57</v>
      </c>
      <c r="GI26" s="1">
        <v>2016</v>
      </c>
      <c r="GJ26" s="1" t="s">
        <v>42</v>
      </c>
      <c r="GK26" s="1">
        <v>144021.5</v>
      </c>
      <c r="GL26" s="1">
        <v>10773649.5</v>
      </c>
      <c r="GM26" s="1">
        <v>1.3367939990993701E-2</v>
      </c>
      <c r="GN26" s="1"/>
      <c r="GO26" s="22">
        <v>1029</v>
      </c>
      <c r="GP26" s="1" t="s">
        <v>17</v>
      </c>
      <c r="GQ26" s="1">
        <v>2017</v>
      </c>
      <c r="GR26" s="1" t="s">
        <v>42</v>
      </c>
      <c r="GS26" s="1">
        <v>8781.2999999999993</v>
      </c>
      <c r="GT26" s="1">
        <v>3719735.5</v>
      </c>
      <c r="GU26" s="1">
        <v>2.3607323692773001E-3</v>
      </c>
      <c r="GV26" s="1"/>
      <c r="GW26" s="22">
        <v>2225</v>
      </c>
      <c r="GX26" s="1" t="s">
        <v>61</v>
      </c>
      <c r="GY26" s="1">
        <v>2017</v>
      </c>
      <c r="GZ26" s="1" t="s">
        <v>42</v>
      </c>
      <c r="HA26" s="1">
        <v>122767.4</v>
      </c>
      <c r="HB26" s="1">
        <v>44107004.100000001</v>
      </c>
      <c r="HC26" s="1">
        <v>2.7833992016701001E-3</v>
      </c>
      <c r="HD26" s="1"/>
      <c r="HE26" s="22">
        <v>3421</v>
      </c>
      <c r="HF26" s="1" t="s">
        <v>44</v>
      </c>
      <c r="HG26" s="1">
        <v>2017</v>
      </c>
      <c r="HH26" s="1" t="s">
        <v>42</v>
      </c>
      <c r="HI26" s="1">
        <v>16763.7</v>
      </c>
      <c r="HJ26" s="1">
        <v>5855367.5</v>
      </c>
      <c r="HK26" s="1">
        <v>2.8629629139416998E-3</v>
      </c>
      <c r="HL26" s="1"/>
      <c r="HM26" s="22">
        <v>4617</v>
      </c>
      <c r="HN26" s="1" t="s">
        <v>38</v>
      </c>
      <c r="HO26" s="1">
        <v>2017</v>
      </c>
      <c r="HP26" s="1" t="s">
        <v>42</v>
      </c>
      <c r="HQ26" s="1">
        <v>23798.9</v>
      </c>
      <c r="HR26" s="1">
        <v>5923445.7000000002</v>
      </c>
      <c r="HS26" s="1">
        <v>4.0177459548585998E-3</v>
      </c>
      <c r="HT26" s="1"/>
      <c r="HU26" s="22">
        <v>5813</v>
      </c>
      <c r="HV26" s="1" t="s">
        <v>31</v>
      </c>
      <c r="HW26" s="1">
        <v>2017</v>
      </c>
      <c r="HX26" s="1" t="s">
        <v>42</v>
      </c>
      <c r="HY26" s="1">
        <v>123002.1</v>
      </c>
      <c r="HZ26" s="1">
        <v>8686095.3000000007</v>
      </c>
      <c r="IA26" s="1">
        <v>1.41608047979855E-2</v>
      </c>
      <c r="IB26" s="1"/>
      <c r="IC26" s="22">
        <v>7009</v>
      </c>
      <c r="ID26" s="1" t="s">
        <v>51</v>
      </c>
      <c r="IE26" s="1">
        <v>2017</v>
      </c>
      <c r="IF26" s="1" t="s">
        <v>42</v>
      </c>
      <c r="IG26" s="1">
        <v>44886.3</v>
      </c>
      <c r="IH26" s="1">
        <v>4472691.8</v>
      </c>
      <c r="II26" s="1">
        <v>1.0035634469605001E-2</v>
      </c>
      <c r="IJ26" s="1"/>
      <c r="IK26" s="22">
        <v>8205</v>
      </c>
      <c r="IL26" s="1" t="s">
        <v>57</v>
      </c>
      <c r="IM26" s="1">
        <v>2017</v>
      </c>
      <c r="IN26" s="1" t="s">
        <v>42</v>
      </c>
      <c r="IO26" s="1">
        <v>147419.6</v>
      </c>
      <c r="IP26" s="1">
        <v>10750260.5</v>
      </c>
      <c r="IQ26" s="1">
        <v>1.3713118858840599E-2</v>
      </c>
      <c r="IR26" s="1"/>
      <c r="IS26" s="22">
        <v>1075</v>
      </c>
      <c r="IT26" s="1" t="s">
        <v>17</v>
      </c>
      <c r="IU26" s="1">
        <v>2018</v>
      </c>
      <c r="IV26" s="1" t="s">
        <v>42</v>
      </c>
      <c r="IW26" s="1">
        <v>8992.7999999999993</v>
      </c>
      <c r="IX26" s="1">
        <v>3904165.4</v>
      </c>
      <c r="IY26" s="1">
        <v>2.3033860194549998E-3</v>
      </c>
      <c r="IZ26" s="1"/>
      <c r="JA26" s="22">
        <v>2271</v>
      </c>
      <c r="JB26" s="1" t="s">
        <v>61</v>
      </c>
      <c r="JC26" s="1">
        <v>2018</v>
      </c>
      <c r="JD26" s="1" t="s">
        <v>42</v>
      </c>
      <c r="JE26" s="1">
        <v>131389</v>
      </c>
      <c r="JF26" s="1">
        <v>46669099.200000003</v>
      </c>
      <c r="JG26" s="1">
        <v>2.8153318202463998E-3</v>
      </c>
      <c r="JH26" s="1"/>
      <c r="JI26" s="22">
        <v>3467</v>
      </c>
      <c r="JJ26" s="1" t="s">
        <v>44</v>
      </c>
      <c r="JK26" s="1">
        <v>2018</v>
      </c>
      <c r="JL26" s="1" t="s">
        <v>42</v>
      </c>
      <c r="JM26" s="1">
        <v>17469.599999999999</v>
      </c>
      <c r="JN26" s="1">
        <v>6336724.7000000002</v>
      </c>
      <c r="JO26" s="1">
        <v>2.7568816426567998E-3</v>
      </c>
      <c r="JP26" s="1"/>
      <c r="JQ26" s="22">
        <v>4663</v>
      </c>
      <c r="JR26" s="1" t="s">
        <v>38</v>
      </c>
      <c r="JS26" s="1">
        <v>2018</v>
      </c>
      <c r="JT26" s="1" t="s">
        <v>42</v>
      </c>
      <c r="JU26" s="1">
        <v>24729.1</v>
      </c>
      <c r="JV26" s="1">
        <v>6390706</v>
      </c>
      <c r="JW26" s="1">
        <v>3.8695411743239999E-3</v>
      </c>
      <c r="JX26" s="1"/>
      <c r="JY26" s="22">
        <v>5859</v>
      </c>
      <c r="JZ26" s="1" t="s">
        <v>31</v>
      </c>
      <c r="KA26" s="1">
        <v>2018</v>
      </c>
      <c r="KB26" s="1" t="s">
        <v>42</v>
      </c>
      <c r="KC26" s="1">
        <v>128681.9</v>
      </c>
      <c r="KD26" s="1">
        <v>9443218.3000000007</v>
      </c>
      <c r="KE26" s="1">
        <v>1.3626911494781299E-2</v>
      </c>
      <c r="KF26" s="1"/>
      <c r="KG26" s="22">
        <v>7055</v>
      </c>
      <c r="KH26" s="1" t="s">
        <v>51</v>
      </c>
      <c r="KI26" s="1">
        <v>2018</v>
      </c>
      <c r="KJ26" s="1" t="s">
        <v>42</v>
      </c>
      <c r="KK26" s="1">
        <v>46566.7</v>
      </c>
      <c r="KL26" s="1">
        <v>4803387.8</v>
      </c>
      <c r="KM26" s="1">
        <v>9.6945534982622004E-3</v>
      </c>
      <c r="KN26" s="1"/>
      <c r="KO26" s="22">
        <v>8251</v>
      </c>
      <c r="KP26" s="1" t="s">
        <v>57</v>
      </c>
      <c r="KQ26" s="1">
        <v>2018</v>
      </c>
      <c r="KR26" s="1" t="s">
        <v>42</v>
      </c>
      <c r="KS26" s="1">
        <v>164118.79999999999</v>
      </c>
      <c r="KT26" s="1">
        <v>11172914.4</v>
      </c>
      <c r="KU26" s="1">
        <v>1.46889875035648E-2</v>
      </c>
      <c r="KV26" s="1"/>
      <c r="KW26" s="22">
        <v>1121</v>
      </c>
      <c r="KX26" s="1" t="s">
        <v>17</v>
      </c>
      <c r="KY26" s="1">
        <v>2019</v>
      </c>
      <c r="KZ26" s="1" t="s">
        <v>42</v>
      </c>
      <c r="LA26" s="1">
        <v>9320.2999999999993</v>
      </c>
      <c r="LB26" s="1">
        <v>3955328</v>
      </c>
      <c r="LC26" s="1">
        <v>2.3563911766609001E-3</v>
      </c>
      <c r="LD26" s="1"/>
      <c r="LE26" s="22">
        <v>2317</v>
      </c>
      <c r="LF26" s="1" t="s">
        <v>61</v>
      </c>
      <c r="LG26" s="1">
        <v>2019</v>
      </c>
      <c r="LH26" s="1" t="s">
        <v>42</v>
      </c>
      <c r="LI26" s="1">
        <v>132273</v>
      </c>
      <c r="LJ26" s="1">
        <v>48356774.5</v>
      </c>
      <c r="LK26" s="1">
        <v>2.7353561391899E-3</v>
      </c>
      <c r="LL26" s="1"/>
      <c r="LM26" s="22">
        <v>3513</v>
      </c>
      <c r="LN26" s="1" t="s">
        <v>44</v>
      </c>
      <c r="LO26" s="1">
        <v>2019</v>
      </c>
      <c r="LP26" s="1" t="s">
        <v>42</v>
      </c>
      <c r="LQ26" s="1">
        <v>16825.7</v>
      </c>
      <c r="LR26" s="1">
        <v>6269787.0999999996</v>
      </c>
      <c r="LS26" s="1">
        <v>2.6836158439893002E-3</v>
      </c>
      <c r="LT26" s="1"/>
      <c r="LU26" s="22">
        <v>4709</v>
      </c>
      <c r="LV26" s="1" t="s">
        <v>38</v>
      </c>
      <c r="LW26" s="1">
        <v>2019</v>
      </c>
      <c r="LX26" s="1" t="s">
        <v>42</v>
      </c>
      <c r="LY26" s="1">
        <v>23662.2</v>
      </c>
      <c r="LZ26" s="1">
        <v>6182094.5</v>
      </c>
      <c r="MA26" s="1">
        <v>3.8275377382212001E-3</v>
      </c>
      <c r="MB26" s="1"/>
      <c r="MC26" s="22">
        <v>5905</v>
      </c>
      <c r="MD26" s="1" t="s">
        <v>31</v>
      </c>
      <c r="ME26" s="1">
        <v>2019</v>
      </c>
      <c r="MF26" s="1" t="s">
        <v>42</v>
      </c>
      <c r="MG26" s="1">
        <v>121135.3</v>
      </c>
      <c r="MH26" s="1">
        <v>9237079</v>
      </c>
      <c r="MI26" s="1">
        <v>1.3114026631145999E-2</v>
      </c>
      <c r="MJ26" s="1"/>
      <c r="MK26" s="22">
        <v>7101</v>
      </c>
      <c r="ML26" s="1" t="s">
        <v>51</v>
      </c>
      <c r="MM26" s="1">
        <v>2019</v>
      </c>
      <c r="MN26" s="1" t="s">
        <v>42</v>
      </c>
      <c r="MO26" s="1">
        <v>44216.5</v>
      </c>
      <c r="MP26" s="1">
        <v>4608662</v>
      </c>
      <c r="MQ26" s="1">
        <v>9.5942162822961995E-3</v>
      </c>
      <c r="MR26" s="1"/>
      <c r="MS26" s="22">
        <v>8297</v>
      </c>
      <c r="MT26" s="1" t="s">
        <v>57</v>
      </c>
      <c r="MU26" s="1">
        <v>2019</v>
      </c>
      <c r="MV26" s="1" t="s">
        <v>42</v>
      </c>
      <c r="MW26" s="1">
        <v>159933</v>
      </c>
      <c r="MX26" s="1">
        <v>11338077</v>
      </c>
      <c r="MY26" s="1">
        <v>1.41058311740165E-2</v>
      </c>
      <c r="MZ26" s="1"/>
      <c r="NA26" s="22">
        <v>1167</v>
      </c>
      <c r="NB26" s="1" t="s">
        <v>17</v>
      </c>
      <c r="NC26" s="1">
        <v>2020</v>
      </c>
      <c r="ND26" s="1" t="s">
        <v>42</v>
      </c>
      <c r="NE26" s="1">
        <v>8318.2999999999993</v>
      </c>
      <c r="NF26" s="1">
        <v>3784752.3</v>
      </c>
      <c r="NG26" s="1">
        <v>2.1978452856743001E-3</v>
      </c>
      <c r="NH26" s="1"/>
      <c r="NI26" s="22">
        <v>2363</v>
      </c>
      <c r="NJ26" s="1" t="s">
        <v>61</v>
      </c>
      <c r="NK26" s="1">
        <v>2020</v>
      </c>
      <c r="NL26" s="1" t="s">
        <v>42</v>
      </c>
      <c r="NM26" s="1">
        <v>126965</v>
      </c>
      <c r="NN26" s="1">
        <v>47421769.399999999</v>
      </c>
      <c r="NO26" s="1">
        <v>2.6773568680885E-3</v>
      </c>
      <c r="NP26" s="1"/>
      <c r="NQ26" s="22">
        <v>3559</v>
      </c>
      <c r="NR26" s="1" t="s">
        <v>44</v>
      </c>
      <c r="NS26" s="1">
        <v>2020</v>
      </c>
      <c r="NT26" s="1" t="s">
        <v>42</v>
      </c>
      <c r="NU26" s="1">
        <v>16987.2</v>
      </c>
      <c r="NV26" s="1">
        <v>5955345.3666666672</v>
      </c>
      <c r="NW26" s="1">
        <v>2.8524290287311998E-3</v>
      </c>
      <c r="NX26" s="1"/>
      <c r="NY26" s="22">
        <v>4755</v>
      </c>
      <c r="NZ26" s="1" t="s">
        <v>38</v>
      </c>
      <c r="OA26" s="1">
        <v>2020</v>
      </c>
      <c r="OB26" s="1" t="s">
        <v>42</v>
      </c>
      <c r="OC26" s="1">
        <v>21659.9</v>
      </c>
      <c r="OD26" s="1">
        <v>5990228.4000000004</v>
      </c>
      <c r="OE26" s="1">
        <v>3.6158721427049E-3</v>
      </c>
      <c r="OF26" s="1"/>
      <c r="OG26" s="22">
        <v>5951</v>
      </c>
      <c r="OH26" s="1" t="s">
        <v>31</v>
      </c>
      <c r="OI26" s="1">
        <v>2020</v>
      </c>
      <c r="OJ26" s="1" t="s">
        <v>42</v>
      </c>
      <c r="OK26" s="1">
        <v>121491.2</v>
      </c>
      <c r="OL26" s="1">
        <v>9257180.0999999996</v>
      </c>
      <c r="OM26" s="1">
        <v>1.3123996582933501E-2</v>
      </c>
      <c r="ON26" s="1"/>
      <c r="OO26" s="22">
        <v>7147</v>
      </c>
      <c r="OP26" s="1" t="s">
        <v>51</v>
      </c>
      <c r="OQ26" s="1">
        <v>2020</v>
      </c>
      <c r="OR26" s="1" t="s">
        <v>42</v>
      </c>
      <c r="OS26" s="1">
        <v>41937.800000000003</v>
      </c>
      <c r="OT26" s="1">
        <v>4352046.4000000004</v>
      </c>
      <c r="OU26" s="1">
        <v>9.6363402743132008E-3</v>
      </c>
      <c r="OV26" s="1"/>
      <c r="OW26" s="22">
        <v>8343</v>
      </c>
      <c r="OX26" s="1" t="s">
        <v>57</v>
      </c>
      <c r="OY26" s="1">
        <v>2020</v>
      </c>
      <c r="OZ26" s="1" t="s">
        <v>42</v>
      </c>
      <c r="PA26" s="1">
        <v>143356.5</v>
      </c>
      <c r="PB26" s="1">
        <v>11082248.733333331</v>
      </c>
      <c r="PC26" s="1">
        <v>1.29356869214467E-2</v>
      </c>
      <c r="PD26" s="1"/>
      <c r="PE26" s="22">
        <v>8389</v>
      </c>
      <c r="PF26" s="1" t="s">
        <v>17</v>
      </c>
      <c r="PG26" s="1">
        <v>2021</v>
      </c>
      <c r="PH26" s="1" t="s">
        <v>42</v>
      </c>
      <c r="PI26" s="1">
        <v>10160.637051845721</v>
      </c>
      <c r="PJ26" s="1">
        <v>4622999.2247741111</v>
      </c>
      <c r="PK26" s="1">
        <v>2.1978452856743001E-3</v>
      </c>
      <c r="PL26" s="1"/>
      <c r="PM26" s="22">
        <v>9309</v>
      </c>
      <c r="PN26" s="1" t="s">
        <v>61</v>
      </c>
      <c r="PO26" s="1">
        <v>2021</v>
      </c>
      <c r="PP26" s="1" t="s">
        <v>42</v>
      </c>
      <c r="PQ26" s="1">
        <v>140801.230583353</v>
      </c>
      <c r="PR26" s="1">
        <v>52589638.782026872</v>
      </c>
      <c r="PS26" s="1">
        <v>2.6773568680885E-3</v>
      </c>
      <c r="PT26" s="1"/>
      <c r="PU26" s="22">
        <v>10229</v>
      </c>
      <c r="PV26" s="1" t="s">
        <v>44</v>
      </c>
      <c r="PW26" s="1">
        <v>2021</v>
      </c>
      <c r="PX26" s="1" t="s">
        <v>42</v>
      </c>
      <c r="PY26" s="1">
        <v>19799.985725198021</v>
      </c>
      <c r="PZ26" s="1">
        <v>6941447.2808129201</v>
      </c>
      <c r="QA26" s="1">
        <v>2.8524290287311998E-3</v>
      </c>
      <c r="QB26" s="1"/>
      <c r="QC26" s="22">
        <v>11149</v>
      </c>
      <c r="QD26" s="1" t="s">
        <v>38</v>
      </c>
      <c r="QE26" s="1">
        <v>2021</v>
      </c>
      <c r="QF26" s="1" t="s">
        <v>42</v>
      </c>
      <c r="QG26" s="1">
        <v>24265.209864686469</v>
      </c>
      <c r="QH26" s="1">
        <v>6710748.8614170318</v>
      </c>
      <c r="QI26" s="1">
        <v>3.6158721427049E-3</v>
      </c>
      <c r="QJ26" s="1"/>
      <c r="QK26" s="22">
        <v>12069</v>
      </c>
      <c r="QL26" s="1" t="s">
        <v>31</v>
      </c>
      <c r="QM26" s="1">
        <v>2021</v>
      </c>
      <c r="QN26" s="1" t="s">
        <v>42</v>
      </c>
      <c r="QO26" s="1">
        <v>134076.50107864189</v>
      </c>
      <c r="QP26" s="1">
        <v>10216133.49495957</v>
      </c>
      <c r="QQ26" s="1">
        <v>1.3123996582933501E-2</v>
      </c>
      <c r="QR26" s="1"/>
      <c r="QS26" s="22">
        <v>12989</v>
      </c>
      <c r="QT26" s="1" t="s">
        <v>51</v>
      </c>
      <c r="QU26" s="1">
        <v>2021</v>
      </c>
      <c r="QV26" s="1" t="s">
        <v>42</v>
      </c>
      <c r="QW26" s="1">
        <v>47912.047905089188</v>
      </c>
      <c r="QX26" s="1">
        <v>4972017.0252605537</v>
      </c>
      <c r="QY26" s="1">
        <v>9.6363402743132008E-3</v>
      </c>
      <c r="QZ26" s="1"/>
      <c r="RA26" s="22">
        <v>13909</v>
      </c>
      <c r="RB26" s="1" t="s">
        <v>57</v>
      </c>
      <c r="RC26" s="1">
        <v>2021</v>
      </c>
      <c r="RD26" s="1" t="s">
        <v>42</v>
      </c>
      <c r="RE26" s="1">
        <v>142933.30068143029</v>
      </c>
      <c r="RF26" s="1">
        <v>11049533.09007922</v>
      </c>
      <c r="RG26" s="1">
        <v>1.29356869214467E-2</v>
      </c>
      <c r="RH26" s="1"/>
      <c r="RI26" s="22">
        <v>8435</v>
      </c>
      <c r="RJ26" s="1" t="s">
        <v>17</v>
      </c>
      <c r="RK26" s="1">
        <v>2022</v>
      </c>
      <c r="RL26" s="1" t="s">
        <v>42</v>
      </c>
      <c r="RM26" s="1">
        <v>11004.83638323826</v>
      </c>
      <c r="RN26" s="1">
        <v>5007102.3902221443</v>
      </c>
      <c r="RO26" s="1">
        <v>2.1978452856743001E-3</v>
      </c>
      <c r="RP26" s="1"/>
      <c r="RQ26" s="22">
        <v>9355</v>
      </c>
      <c r="RR26" s="1" t="s">
        <v>61</v>
      </c>
      <c r="RS26" s="1">
        <v>2022</v>
      </c>
      <c r="RT26" s="1" t="s">
        <v>42</v>
      </c>
      <c r="RU26" s="1">
        <v>154629.13719145159</v>
      </c>
      <c r="RV26" s="1">
        <v>57754399.13688051</v>
      </c>
      <c r="RW26" s="1">
        <v>2.6773568680885E-3</v>
      </c>
      <c r="RX26" s="1"/>
      <c r="RY26" s="22">
        <v>10275</v>
      </c>
      <c r="RZ26" s="1" t="s">
        <v>44</v>
      </c>
      <c r="SA26" s="1">
        <v>2022</v>
      </c>
      <c r="SB26" s="1" t="s">
        <v>42</v>
      </c>
      <c r="SC26" s="1">
        <v>19615.54902068376</v>
      </c>
      <c r="SD26" s="1">
        <v>6876787.7563667288</v>
      </c>
      <c r="SE26" s="1">
        <v>2.8524290287311998E-3</v>
      </c>
      <c r="SF26" s="1"/>
      <c r="SG26" s="22">
        <v>11195</v>
      </c>
      <c r="SH26" s="1" t="s">
        <v>38</v>
      </c>
      <c r="SI26" s="1">
        <v>2022</v>
      </c>
      <c r="SJ26" s="1" t="s">
        <v>42</v>
      </c>
      <c r="SK26" s="1">
        <v>22873.557220167939</v>
      </c>
      <c r="SL26" s="1">
        <v>6325875.5612572851</v>
      </c>
      <c r="SM26" s="1">
        <v>3.6158721427049E-3</v>
      </c>
      <c r="SN26" s="1"/>
      <c r="SO26" s="22">
        <v>12115</v>
      </c>
      <c r="SP26" s="1" t="s">
        <v>31</v>
      </c>
      <c r="SQ26" s="1">
        <v>2022</v>
      </c>
      <c r="SR26" s="1" t="s">
        <v>42</v>
      </c>
      <c r="SS26" s="1">
        <v>128381.4180003756</v>
      </c>
      <c r="ST26" s="1">
        <v>9782189.227885304</v>
      </c>
      <c r="SU26" s="1">
        <v>1.3123996582933501E-2</v>
      </c>
      <c r="SV26" s="1"/>
      <c r="SW26" s="22">
        <v>13035</v>
      </c>
      <c r="SX26" s="1" t="s">
        <v>51</v>
      </c>
      <c r="SY26" s="1">
        <v>2022</v>
      </c>
      <c r="SZ26" s="1" t="s">
        <v>42</v>
      </c>
      <c r="TA26" s="1">
        <v>46260.022042694829</v>
      </c>
      <c r="TB26" s="1">
        <v>4800579.963537232</v>
      </c>
      <c r="TC26" s="1">
        <v>9.6363402743132008E-3</v>
      </c>
      <c r="TD26" s="1"/>
      <c r="TE26" s="22">
        <v>13955</v>
      </c>
      <c r="TF26" s="1" t="s">
        <v>57</v>
      </c>
      <c r="TG26" s="1">
        <v>2022</v>
      </c>
      <c r="TH26" s="1" t="s">
        <v>42</v>
      </c>
      <c r="TI26" s="1">
        <v>120902.8262350931</v>
      </c>
      <c r="TJ26" s="1">
        <v>9346455.8140041605</v>
      </c>
      <c r="TK26" s="1">
        <v>1.29356869214467E-2</v>
      </c>
      <c r="TL26" s="1"/>
      <c r="TM26" s="22">
        <v>8481</v>
      </c>
      <c r="TN26" s="1" t="s">
        <v>17</v>
      </c>
      <c r="TO26" s="1">
        <v>2023</v>
      </c>
      <c r="TP26" s="1" t="s">
        <v>42</v>
      </c>
      <c r="TQ26" s="1">
        <v>10919.075015703471</v>
      </c>
      <c r="TR26" s="1">
        <v>4968081.7329930915</v>
      </c>
      <c r="TS26" s="1">
        <v>2.1978452856743001E-3</v>
      </c>
      <c r="TT26" s="1"/>
      <c r="TU26" s="22">
        <v>9401</v>
      </c>
      <c r="TV26" s="1" t="s">
        <v>61</v>
      </c>
      <c r="TW26" s="1">
        <v>2023</v>
      </c>
      <c r="TX26" s="1" t="s">
        <v>42</v>
      </c>
      <c r="TY26" s="1">
        <v>164818.87204330659</v>
      </c>
      <c r="TZ26" s="1">
        <v>61560292.543660469</v>
      </c>
      <c r="UA26" s="1">
        <v>2.6773568680885E-3</v>
      </c>
      <c r="UB26" s="1"/>
      <c r="UC26" s="22">
        <v>10321</v>
      </c>
      <c r="UD26" s="1" t="s">
        <v>44</v>
      </c>
      <c r="UE26" s="1">
        <v>2023</v>
      </c>
      <c r="UF26" s="1" t="s">
        <v>42</v>
      </c>
      <c r="UG26" s="1">
        <v>21226.97653942832</v>
      </c>
      <c r="UH26" s="1">
        <v>7441719.4347760417</v>
      </c>
      <c r="UI26" s="1">
        <v>2.8524290287311998E-3</v>
      </c>
      <c r="UJ26" s="1"/>
      <c r="UK26" s="22">
        <v>11241</v>
      </c>
      <c r="UL26" s="1" t="s">
        <v>38</v>
      </c>
      <c r="UM26" s="1">
        <v>2023</v>
      </c>
      <c r="UN26" s="1" t="s">
        <v>42</v>
      </c>
      <c r="UO26" s="1">
        <v>24963.776465767311</v>
      </c>
      <c r="UP26" s="1">
        <v>6903943.3587640161</v>
      </c>
      <c r="UQ26" s="1">
        <v>3.6158721427049E-3</v>
      </c>
      <c r="UR26" s="1"/>
      <c r="US26" s="22">
        <v>12161</v>
      </c>
      <c r="UT26" s="1" t="s">
        <v>31</v>
      </c>
      <c r="UU26" s="1">
        <v>2023</v>
      </c>
      <c r="UV26" s="1" t="s">
        <v>42</v>
      </c>
      <c r="UW26" s="1">
        <v>139546.49424639731</v>
      </c>
      <c r="UX26" s="1">
        <v>10632926.743356841</v>
      </c>
      <c r="UY26" s="1">
        <v>1.3123996582933501E-2</v>
      </c>
      <c r="UZ26" s="1"/>
      <c r="VA26" s="22">
        <v>13081</v>
      </c>
      <c r="VB26" s="1" t="s">
        <v>51</v>
      </c>
      <c r="VC26" s="1">
        <v>2023</v>
      </c>
      <c r="VD26" s="1" t="s">
        <v>42</v>
      </c>
      <c r="VE26" s="1">
        <v>50669.088670916331</v>
      </c>
      <c r="VF26" s="1">
        <v>5258125.7228930313</v>
      </c>
      <c r="VG26" s="1">
        <v>9.6363402743132008E-3</v>
      </c>
      <c r="VH26" s="1"/>
      <c r="VI26" s="22">
        <v>14001</v>
      </c>
      <c r="VJ26" s="1" t="s">
        <v>57</v>
      </c>
      <c r="VK26" s="1">
        <v>2023</v>
      </c>
      <c r="VL26" s="1" t="s">
        <v>42</v>
      </c>
      <c r="VM26" s="1">
        <v>119504.7367972736</v>
      </c>
      <c r="VN26" s="1">
        <v>9238375.7834414635</v>
      </c>
      <c r="VO26" s="1">
        <v>1.29356869214467E-2</v>
      </c>
      <c r="VP26" s="1"/>
      <c r="VQ26" s="22">
        <v>8527</v>
      </c>
      <c r="VR26" s="1" t="s">
        <v>17</v>
      </c>
      <c r="VS26" s="1">
        <v>2024</v>
      </c>
      <c r="VT26" s="1" t="s">
        <v>42</v>
      </c>
      <c r="VU26" s="1">
        <v>11260.26156926454</v>
      </c>
      <c r="VV26" s="1">
        <v>5123318.5714479852</v>
      </c>
      <c r="VW26" s="1">
        <v>2.1978452856743001E-3</v>
      </c>
      <c r="VX26" s="1"/>
      <c r="VY26" s="22">
        <v>9447</v>
      </c>
      <c r="VZ26" s="1" t="s">
        <v>61</v>
      </c>
      <c r="WA26" s="1">
        <v>2024</v>
      </c>
      <c r="WB26" s="1" t="s">
        <v>42</v>
      </c>
      <c r="WC26" s="1">
        <v>173524.56102106729</v>
      </c>
      <c r="WD26" s="1">
        <v>64811890.820126347</v>
      </c>
      <c r="WE26" s="1">
        <v>2.6773568680885E-3</v>
      </c>
      <c r="WF26" s="1"/>
      <c r="WG26" s="22">
        <v>10367</v>
      </c>
      <c r="WH26" s="1" t="s">
        <v>44</v>
      </c>
      <c r="WI26" s="1">
        <v>2024</v>
      </c>
      <c r="WJ26" s="1" t="s">
        <v>42</v>
      </c>
      <c r="WK26" s="1">
        <v>22952.73213832773</v>
      </c>
      <c r="WL26" s="1">
        <v>8046732.0684004631</v>
      </c>
      <c r="WM26" s="1">
        <v>2.8524290287311998E-3</v>
      </c>
      <c r="WN26" s="1"/>
      <c r="WO26" s="22">
        <v>11287</v>
      </c>
      <c r="WP26" s="1" t="s">
        <v>38</v>
      </c>
      <c r="WQ26" s="1">
        <v>2024</v>
      </c>
      <c r="WR26" s="1" t="s">
        <v>42</v>
      </c>
      <c r="WS26" s="1">
        <v>25865.614495851169</v>
      </c>
      <c r="WT26" s="1">
        <v>7153354.2877160665</v>
      </c>
      <c r="WU26" s="1">
        <v>3.6158721427049E-3</v>
      </c>
      <c r="WV26" s="1"/>
      <c r="WW26" s="22">
        <v>12207</v>
      </c>
      <c r="WX26" s="1" t="s">
        <v>31</v>
      </c>
      <c r="WY26" s="1">
        <v>2024</v>
      </c>
      <c r="WZ26" s="1" t="s">
        <v>42</v>
      </c>
      <c r="XA26" s="1">
        <v>143685.37351870749</v>
      </c>
      <c r="XB26" s="1">
        <v>10948294.03609846</v>
      </c>
      <c r="XC26" s="1">
        <v>1.3123996582933501E-2</v>
      </c>
      <c r="XD26" s="1"/>
      <c r="XE26" s="22">
        <v>13127</v>
      </c>
      <c r="XF26" s="1" t="s">
        <v>51</v>
      </c>
      <c r="XG26" s="1">
        <v>2024</v>
      </c>
      <c r="XH26" s="1" t="s">
        <v>42</v>
      </c>
      <c r="XI26" s="1">
        <v>52167.652455595577</v>
      </c>
      <c r="XJ26" s="1">
        <v>5413637.436055948</v>
      </c>
      <c r="XK26" s="1">
        <v>9.6363402743132008E-3</v>
      </c>
      <c r="XL26" s="1"/>
      <c r="XM26" s="22">
        <v>14047</v>
      </c>
      <c r="XN26" s="1" t="s">
        <v>57</v>
      </c>
      <c r="XO26" s="1">
        <v>2024</v>
      </c>
      <c r="XP26" s="1" t="s">
        <v>42</v>
      </c>
      <c r="XQ26" s="1">
        <v>114201.6976149909</v>
      </c>
      <c r="XR26" s="1">
        <v>8828421.583522588</v>
      </c>
      <c r="XS26" s="1">
        <v>1.29356869214467E-2</v>
      </c>
      <c r="XT26" s="1"/>
    </row>
    <row r="27" spans="1:644" x14ac:dyDescent="0.25">
      <c r="A27" s="2">
        <v>18</v>
      </c>
      <c r="B27" s="1" t="s">
        <v>17</v>
      </c>
      <c r="C27" s="1" t="s">
        <v>43</v>
      </c>
      <c r="D27" s="1">
        <v>8.5431404351570886E-3</v>
      </c>
      <c r="E27" s="1">
        <v>8.0125816924246276E-3</v>
      </c>
      <c r="F27" s="1">
        <v>7.7143979901871194E-3</v>
      </c>
      <c r="G27" s="1">
        <v>8.0971348634869336E-3</v>
      </c>
      <c r="H27" s="1">
        <v>8.4298938769346177E-3</v>
      </c>
      <c r="I27" s="1">
        <v>8.1990671822918353E-3</v>
      </c>
      <c r="J27" s="1">
        <v>7.4247395265470877E-3</v>
      </c>
      <c r="K27" s="1">
        <v>7.424739526547014E-3</v>
      </c>
      <c r="L27" s="1">
        <v>7.4247395265470166E-3</v>
      </c>
      <c r="M27" s="1">
        <v>7.4247395265470157E-3</v>
      </c>
      <c r="N27" s="1">
        <v>7.4247395265470166E-3</v>
      </c>
      <c r="O27" s="1">
        <v>7.8290830612015791E-3</v>
      </c>
      <c r="P27" s="1"/>
      <c r="Q27" s="2">
        <v>154</v>
      </c>
      <c r="R27" s="1" t="s">
        <v>44</v>
      </c>
      <c r="S27" s="16" t="s">
        <v>19</v>
      </c>
      <c r="T27" s="16">
        <v>4.839895390274295E-3</v>
      </c>
      <c r="U27" s="1"/>
      <c r="V27" t="s">
        <v>61</v>
      </c>
      <c r="AC27" s="22">
        <v>892</v>
      </c>
      <c r="AD27" s="1" t="s">
        <v>17</v>
      </c>
      <c r="AE27" s="1">
        <v>2014</v>
      </c>
      <c r="AF27" s="1" t="s">
        <v>43</v>
      </c>
      <c r="AG27" s="1">
        <v>34926.199999999997</v>
      </c>
      <c r="AH27" s="1">
        <v>4088215.6</v>
      </c>
      <c r="AI27" s="1">
        <v>8.5431404351570001E-3</v>
      </c>
      <c r="AJ27" s="1"/>
      <c r="AK27" s="22">
        <v>2088</v>
      </c>
      <c r="AL27" s="1" t="s">
        <v>61</v>
      </c>
      <c r="AM27" s="1">
        <v>2014</v>
      </c>
      <c r="AN27" s="1" t="s">
        <v>43</v>
      </c>
      <c r="AO27" s="1">
        <v>408289.1</v>
      </c>
      <c r="AP27" s="1">
        <v>40350049.200000003</v>
      </c>
      <c r="AQ27" s="1">
        <v>1.0118676633484701E-2</v>
      </c>
      <c r="AR27" s="1"/>
      <c r="AS27" s="22">
        <v>3284</v>
      </c>
      <c r="AT27" s="1" t="s">
        <v>44</v>
      </c>
      <c r="AU27" s="1">
        <v>2014</v>
      </c>
      <c r="AV27" s="1" t="s">
        <v>43</v>
      </c>
      <c r="AW27" s="1">
        <v>56131.8</v>
      </c>
      <c r="AX27" s="1">
        <v>6735816.8000000007</v>
      </c>
      <c r="AY27" s="1">
        <v>8.3333323435993006E-3</v>
      </c>
      <c r="AZ27" s="1"/>
      <c r="BA27" s="22">
        <v>4480</v>
      </c>
      <c r="BB27" s="1" t="s">
        <v>38</v>
      </c>
      <c r="BC27" s="1">
        <v>2014</v>
      </c>
      <c r="BD27" s="1" t="s">
        <v>43</v>
      </c>
      <c r="BE27" s="1">
        <v>48698.400000000001</v>
      </c>
      <c r="BF27" s="1">
        <v>6538596.7000000002</v>
      </c>
      <c r="BG27" s="1">
        <v>7.4478366283088999E-3</v>
      </c>
      <c r="BH27" s="1"/>
      <c r="BI27" s="22">
        <v>5676</v>
      </c>
      <c r="BJ27" s="1" t="s">
        <v>31</v>
      </c>
      <c r="BK27" s="1">
        <v>2014</v>
      </c>
      <c r="BL27" s="1" t="s">
        <v>43</v>
      </c>
      <c r="BM27" s="1">
        <v>320807.59999999998</v>
      </c>
      <c r="BN27" s="1">
        <v>9155477.5</v>
      </c>
      <c r="BO27" s="1">
        <v>3.5039963781244597E-2</v>
      </c>
      <c r="BP27" s="1"/>
      <c r="BQ27" s="22">
        <v>6872</v>
      </c>
      <c r="BR27" s="1" t="s">
        <v>51</v>
      </c>
      <c r="BS27" s="1">
        <v>2014</v>
      </c>
      <c r="BT27" s="1" t="s">
        <v>43</v>
      </c>
      <c r="BU27" s="1">
        <v>150306.6</v>
      </c>
      <c r="BV27" s="1">
        <v>4981875.5</v>
      </c>
      <c r="BW27" s="1">
        <v>3.0170685718661501E-2</v>
      </c>
      <c r="BX27" s="1"/>
      <c r="BY27" s="22">
        <v>8068</v>
      </c>
      <c r="BZ27" s="1" t="s">
        <v>57</v>
      </c>
      <c r="CA27" s="1">
        <v>2014</v>
      </c>
      <c r="CB27" s="1" t="s">
        <v>43</v>
      </c>
      <c r="CC27" s="1">
        <v>295786.8</v>
      </c>
      <c r="CD27" s="1">
        <v>11026913.800000001</v>
      </c>
      <c r="CE27" s="1">
        <v>2.6824078374494902E-2</v>
      </c>
      <c r="CF27" s="1"/>
      <c r="CG27" s="22">
        <v>938</v>
      </c>
      <c r="CH27" s="1" t="s">
        <v>17</v>
      </c>
      <c r="CI27" s="1">
        <v>2015</v>
      </c>
      <c r="CJ27" s="1" t="s">
        <v>43</v>
      </c>
      <c r="CK27" s="1">
        <v>28485.8</v>
      </c>
      <c r="CL27" s="1">
        <v>3555133.8</v>
      </c>
      <c r="CM27" s="1">
        <v>8.0125816924245998E-3</v>
      </c>
      <c r="CN27" s="1"/>
      <c r="CO27" s="22">
        <v>2134</v>
      </c>
      <c r="CP27" s="1" t="s">
        <v>61</v>
      </c>
      <c r="CQ27" s="1">
        <v>2015</v>
      </c>
      <c r="CR27" s="1" t="s">
        <v>43</v>
      </c>
      <c r="CS27" s="1">
        <v>377805.7</v>
      </c>
      <c r="CT27" s="1">
        <v>41208556.399999999</v>
      </c>
      <c r="CU27" s="1">
        <v>9.1681372269569999E-3</v>
      </c>
      <c r="CV27" s="1"/>
      <c r="CW27" s="22">
        <v>3330</v>
      </c>
      <c r="CX27" s="1" t="s">
        <v>44</v>
      </c>
      <c r="CY27" s="1">
        <v>2015</v>
      </c>
      <c r="CZ27" s="1" t="s">
        <v>43</v>
      </c>
      <c r="DA27" s="1">
        <v>51637.4</v>
      </c>
      <c r="DB27" s="1">
        <v>6404349.4000000004</v>
      </c>
      <c r="DC27" s="1">
        <v>8.0628642778296008E-3</v>
      </c>
      <c r="DD27" s="1"/>
      <c r="DE27" s="22">
        <v>4526</v>
      </c>
      <c r="DF27" s="1" t="s">
        <v>38</v>
      </c>
      <c r="DG27" s="1">
        <v>2015</v>
      </c>
      <c r="DH27" s="1" t="s">
        <v>43</v>
      </c>
      <c r="DI27" s="1">
        <v>40700.199999999997</v>
      </c>
      <c r="DJ27" s="1">
        <v>5531517.5999999996</v>
      </c>
      <c r="DK27" s="1">
        <v>7.3578722772209004E-3</v>
      </c>
      <c r="DL27" s="1"/>
      <c r="DM27" s="22">
        <v>5722</v>
      </c>
      <c r="DN27" s="1" t="s">
        <v>31</v>
      </c>
      <c r="DO27" s="1">
        <v>2015</v>
      </c>
      <c r="DP27" s="1" t="s">
        <v>43</v>
      </c>
      <c r="DQ27" s="1">
        <v>272359.09999999998</v>
      </c>
      <c r="DR27" s="1">
        <v>7894528</v>
      </c>
      <c r="DS27" s="1">
        <v>3.4499731966242897E-2</v>
      </c>
      <c r="DT27" s="1"/>
      <c r="DU27" s="22">
        <v>6918</v>
      </c>
      <c r="DV27" s="1" t="s">
        <v>51</v>
      </c>
      <c r="DW27" s="1">
        <v>2015</v>
      </c>
      <c r="DX27" s="1" t="s">
        <v>43</v>
      </c>
      <c r="DY27" s="1">
        <v>126354.7</v>
      </c>
      <c r="DZ27" s="1">
        <v>4209274.5999999996</v>
      </c>
      <c r="EA27" s="1">
        <v>3.0018165125173801E-2</v>
      </c>
      <c r="EB27" s="1"/>
      <c r="EC27" s="22">
        <v>8114</v>
      </c>
      <c r="ED27" s="1" t="s">
        <v>57</v>
      </c>
      <c r="EE27" s="1">
        <v>2015</v>
      </c>
      <c r="EF27" s="1" t="s">
        <v>43</v>
      </c>
      <c r="EG27" s="1">
        <v>274522.5</v>
      </c>
      <c r="EH27" s="1">
        <v>9729477.0999999996</v>
      </c>
      <c r="EI27" s="1">
        <v>2.8215545108791099E-2</v>
      </c>
      <c r="EJ27" s="1"/>
      <c r="EK27" s="22">
        <v>984</v>
      </c>
      <c r="EL27" s="1" t="s">
        <v>17</v>
      </c>
      <c r="EM27" s="1">
        <v>2016</v>
      </c>
      <c r="EN27" s="1" t="s">
        <v>43</v>
      </c>
      <c r="EO27" s="1">
        <v>26718.1</v>
      </c>
      <c r="EP27" s="1">
        <v>3463407</v>
      </c>
      <c r="EQ27" s="1">
        <v>7.7143979901871003E-3</v>
      </c>
      <c r="ER27" s="1"/>
      <c r="ES27" s="22">
        <v>2180</v>
      </c>
      <c r="ET27" s="1" t="s">
        <v>61</v>
      </c>
      <c r="EU27" s="1">
        <v>2016</v>
      </c>
      <c r="EV27" s="1" t="s">
        <v>43</v>
      </c>
      <c r="EW27" s="1">
        <v>351796.5</v>
      </c>
      <c r="EX27" s="1">
        <v>42141395.200000003</v>
      </c>
      <c r="EY27" s="1">
        <v>8.3480031529663008E-3</v>
      </c>
      <c r="EZ27" s="1"/>
      <c r="FA27" s="22">
        <v>3376</v>
      </c>
      <c r="FB27" s="1" t="s">
        <v>44</v>
      </c>
      <c r="FC27" s="1">
        <v>2016</v>
      </c>
      <c r="FD27" s="1" t="s">
        <v>43</v>
      </c>
      <c r="FE27" s="1">
        <v>45706.2</v>
      </c>
      <c r="FF27" s="1">
        <v>5868597.7999999998</v>
      </c>
      <c r="FG27" s="1">
        <v>7.7882658784352004E-3</v>
      </c>
      <c r="FH27" s="1"/>
      <c r="FI27" s="22">
        <v>4572</v>
      </c>
      <c r="FJ27" s="1" t="s">
        <v>38</v>
      </c>
      <c r="FK27" s="1">
        <v>2016</v>
      </c>
      <c r="FL27" s="1" t="s">
        <v>43</v>
      </c>
      <c r="FM27" s="1">
        <v>40449.9</v>
      </c>
      <c r="FN27" s="1">
        <v>5582986.5</v>
      </c>
      <c r="FO27" s="1">
        <v>7.2452082769677998E-3</v>
      </c>
      <c r="FP27" s="1"/>
      <c r="FQ27" s="22">
        <v>5768</v>
      </c>
      <c r="FR27" s="1" t="s">
        <v>31</v>
      </c>
      <c r="FS27" s="1">
        <v>2016</v>
      </c>
      <c r="FT27" s="1" t="s">
        <v>43</v>
      </c>
      <c r="FU27" s="1">
        <v>278970.2</v>
      </c>
      <c r="FV27" s="1">
        <v>8130820.9000000004</v>
      </c>
      <c r="FW27" s="1">
        <v>3.4310213375871999E-2</v>
      </c>
      <c r="FX27" s="1"/>
      <c r="FY27" s="22">
        <v>6964</v>
      </c>
      <c r="FZ27" s="1" t="s">
        <v>51</v>
      </c>
      <c r="GA27" s="1">
        <v>2016</v>
      </c>
      <c r="GB27" s="1" t="s">
        <v>43</v>
      </c>
      <c r="GC27" s="1">
        <v>128085.5</v>
      </c>
      <c r="GD27" s="1">
        <v>4230502.5999999996</v>
      </c>
      <c r="GE27" s="1">
        <v>3.0276662635782301E-2</v>
      </c>
      <c r="GF27" s="1"/>
      <c r="GG27" s="22">
        <v>8160</v>
      </c>
      <c r="GH27" s="1" t="s">
        <v>57</v>
      </c>
      <c r="GI27" s="1">
        <v>2016</v>
      </c>
      <c r="GJ27" s="1" t="s">
        <v>43</v>
      </c>
      <c r="GK27" s="1">
        <v>302894.59999999998</v>
      </c>
      <c r="GL27" s="1">
        <v>10773649.5</v>
      </c>
      <c r="GM27" s="1">
        <v>2.8114391506796201E-2</v>
      </c>
      <c r="GN27" s="1"/>
      <c r="GO27" s="22">
        <v>1030</v>
      </c>
      <c r="GP27" s="1" t="s">
        <v>17</v>
      </c>
      <c r="GQ27" s="1">
        <v>2017</v>
      </c>
      <c r="GR27" s="1" t="s">
        <v>43</v>
      </c>
      <c r="GS27" s="1">
        <v>30119.200000000001</v>
      </c>
      <c r="GT27" s="1">
        <v>3719735.5</v>
      </c>
      <c r="GU27" s="1">
        <v>8.0971348634869007E-3</v>
      </c>
      <c r="GV27" s="1"/>
      <c r="GW27" s="22">
        <v>2226</v>
      </c>
      <c r="GX27" s="1" t="s">
        <v>61</v>
      </c>
      <c r="GY27" s="1">
        <v>2017</v>
      </c>
      <c r="GZ27" s="1" t="s">
        <v>43</v>
      </c>
      <c r="HA27" s="1">
        <v>363046.5</v>
      </c>
      <c r="HB27" s="1">
        <v>44107004.100000001</v>
      </c>
      <c r="HC27" s="1">
        <v>8.2310396592997995E-3</v>
      </c>
      <c r="HD27" s="1"/>
      <c r="HE27" s="22">
        <v>3422</v>
      </c>
      <c r="HF27" s="1" t="s">
        <v>44</v>
      </c>
      <c r="HG27" s="1">
        <v>2017</v>
      </c>
      <c r="HH27" s="1" t="s">
        <v>43</v>
      </c>
      <c r="HI27" s="1">
        <v>45570.2</v>
      </c>
      <c r="HJ27" s="1">
        <v>5855367.5</v>
      </c>
      <c r="HK27" s="1">
        <v>7.7826370419959998E-3</v>
      </c>
      <c r="HL27" s="1"/>
      <c r="HM27" s="22">
        <v>4618</v>
      </c>
      <c r="HN27" s="1" t="s">
        <v>38</v>
      </c>
      <c r="HO27" s="1">
        <v>2017</v>
      </c>
      <c r="HP27" s="1" t="s">
        <v>43</v>
      </c>
      <c r="HQ27" s="1">
        <v>42490</v>
      </c>
      <c r="HR27" s="1">
        <v>5923445.7000000002</v>
      </c>
      <c r="HS27" s="1">
        <v>7.1731897533895998E-3</v>
      </c>
      <c r="HT27" s="1"/>
      <c r="HU27" s="22">
        <v>5814</v>
      </c>
      <c r="HV27" s="1" t="s">
        <v>31</v>
      </c>
      <c r="HW27" s="1">
        <v>2017</v>
      </c>
      <c r="HX27" s="1" t="s">
        <v>43</v>
      </c>
      <c r="HY27" s="1">
        <v>306165.09999999998</v>
      </c>
      <c r="HZ27" s="1">
        <v>8686095.3000000007</v>
      </c>
      <c r="IA27" s="1">
        <v>3.5247725177502902E-2</v>
      </c>
      <c r="IB27" s="1"/>
      <c r="IC27" s="22">
        <v>7010</v>
      </c>
      <c r="ID27" s="1" t="s">
        <v>51</v>
      </c>
      <c r="IE27" s="1">
        <v>2017</v>
      </c>
      <c r="IF27" s="1" t="s">
        <v>43</v>
      </c>
      <c r="IG27" s="1">
        <v>141147.29999999999</v>
      </c>
      <c r="IH27" s="1">
        <v>4472691.8</v>
      </c>
      <c r="II27" s="1">
        <v>3.15575734505113E-2</v>
      </c>
      <c r="IJ27" s="1"/>
      <c r="IK27" s="22">
        <v>8206</v>
      </c>
      <c r="IL27" s="1" t="s">
        <v>57</v>
      </c>
      <c r="IM27" s="1">
        <v>2017</v>
      </c>
      <c r="IN27" s="1" t="s">
        <v>43</v>
      </c>
      <c r="IO27" s="1">
        <v>317309.3</v>
      </c>
      <c r="IP27" s="1">
        <v>10750260.5</v>
      </c>
      <c r="IQ27" s="1">
        <v>2.95164289274664E-2</v>
      </c>
      <c r="IR27" s="1"/>
      <c r="IS27" s="22">
        <v>1076</v>
      </c>
      <c r="IT27" s="1" t="s">
        <v>17</v>
      </c>
      <c r="IU27" s="1">
        <v>2018</v>
      </c>
      <c r="IV27" s="1" t="s">
        <v>43</v>
      </c>
      <c r="IW27" s="1">
        <v>32911.699999999997</v>
      </c>
      <c r="IX27" s="1">
        <v>3904165.4</v>
      </c>
      <c r="IY27" s="1">
        <v>8.4298938769346004E-3</v>
      </c>
      <c r="IZ27" s="1"/>
      <c r="JA27" s="22">
        <v>2272</v>
      </c>
      <c r="JB27" s="1" t="s">
        <v>61</v>
      </c>
      <c r="JC27" s="1">
        <v>2018</v>
      </c>
      <c r="JD27" s="1" t="s">
        <v>43</v>
      </c>
      <c r="JE27" s="1">
        <v>392564.2</v>
      </c>
      <c r="JF27" s="1">
        <v>46669099.200000003</v>
      </c>
      <c r="JG27" s="1">
        <v>8.4116515366552992E-3</v>
      </c>
      <c r="JH27" s="1"/>
      <c r="JI27" s="22">
        <v>3468</v>
      </c>
      <c r="JJ27" s="1" t="s">
        <v>44</v>
      </c>
      <c r="JK27" s="1">
        <v>2018</v>
      </c>
      <c r="JL27" s="1" t="s">
        <v>43</v>
      </c>
      <c r="JM27" s="1">
        <v>51470.7</v>
      </c>
      <c r="JN27" s="1">
        <v>6336724.7000000002</v>
      </c>
      <c r="JO27" s="1">
        <v>8.122603148595E-3</v>
      </c>
      <c r="JP27" s="1"/>
      <c r="JQ27" s="22">
        <v>4664</v>
      </c>
      <c r="JR27" s="1" t="s">
        <v>38</v>
      </c>
      <c r="JS27" s="1">
        <v>2018</v>
      </c>
      <c r="JT27" s="1" t="s">
        <v>43</v>
      </c>
      <c r="JU27" s="1">
        <v>45300.1</v>
      </c>
      <c r="JV27" s="1">
        <v>6390706</v>
      </c>
      <c r="JW27" s="1">
        <v>7.0884343607731997E-3</v>
      </c>
      <c r="JX27" s="1"/>
      <c r="JY27" s="22">
        <v>5860</v>
      </c>
      <c r="JZ27" s="1" t="s">
        <v>31</v>
      </c>
      <c r="KA27" s="1">
        <v>2018</v>
      </c>
      <c r="KB27" s="1" t="s">
        <v>43</v>
      </c>
      <c r="KC27" s="1">
        <v>330101.8</v>
      </c>
      <c r="KD27" s="1">
        <v>9443218.3000000007</v>
      </c>
      <c r="KE27" s="1">
        <v>3.4956493592867503E-2</v>
      </c>
      <c r="KF27" s="1"/>
      <c r="KG27" s="22">
        <v>7056</v>
      </c>
      <c r="KH27" s="1" t="s">
        <v>51</v>
      </c>
      <c r="KI27" s="1">
        <v>2018</v>
      </c>
      <c r="KJ27" s="1" t="s">
        <v>43</v>
      </c>
      <c r="KK27" s="1">
        <v>153460.6</v>
      </c>
      <c r="KL27" s="1">
        <v>4803387.8</v>
      </c>
      <c r="KM27" s="1">
        <v>3.1948409412206898E-2</v>
      </c>
      <c r="KN27" s="1"/>
      <c r="KO27" s="22">
        <v>8252</v>
      </c>
      <c r="KP27" s="1" t="s">
        <v>57</v>
      </c>
      <c r="KQ27" s="1">
        <v>2018</v>
      </c>
      <c r="KR27" s="1" t="s">
        <v>43</v>
      </c>
      <c r="KS27" s="1">
        <v>339053.8</v>
      </c>
      <c r="KT27" s="1">
        <v>11172914.4</v>
      </c>
      <c r="KU27" s="1">
        <v>3.03460482969421E-2</v>
      </c>
      <c r="KV27" s="1"/>
      <c r="KW27" s="22">
        <v>1122</v>
      </c>
      <c r="KX27" s="1" t="s">
        <v>17</v>
      </c>
      <c r="KY27" s="1">
        <v>2019</v>
      </c>
      <c r="KZ27" s="1" t="s">
        <v>43</v>
      </c>
      <c r="LA27" s="1">
        <v>32430</v>
      </c>
      <c r="LB27" s="1">
        <v>3955328</v>
      </c>
      <c r="LC27" s="1">
        <v>8.1990671822918006E-3</v>
      </c>
      <c r="LD27" s="1"/>
      <c r="LE27" s="22">
        <v>2318</v>
      </c>
      <c r="LF27" s="1" t="s">
        <v>61</v>
      </c>
      <c r="LG27" s="1">
        <v>2019</v>
      </c>
      <c r="LH27" s="1" t="s">
        <v>43</v>
      </c>
      <c r="LI27" s="1">
        <v>399079</v>
      </c>
      <c r="LJ27" s="1">
        <v>48356774.5</v>
      </c>
      <c r="LK27" s="1">
        <v>8.2528043718052002E-3</v>
      </c>
      <c r="LL27" s="1"/>
      <c r="LM27" s="22">
        <v>3514</v>
      </c>
      <c r="LN27" s="1" t="s">
        <v>44</v>
      </c>
      <c r="LO27" s="1">
        <v>2019</v>
      </c>
      <c r="LP27" s="1" t="s">
        <v>43</v>
      </c>
      <c r="LQ27" s="1">
        <v>48907</v>
      </c>
      <c r="LR27" s="1">
        <v>6269787.0999999996</v>
      </c>
      <c r="LS27" s="1">
        <v>7.8004243557168998E-3</v>
      </c>
      <c r="LT27" s="1"/>
      <c r="LU27" s="22">
        <v>4710</v>
      </c>
      <c r="LV27" s="1" t="s">
        <v>38</v>
      </c>
      <c r="LW27" s="1">
        <v>2019</v>
      </c>
      <c r="LX27" s="1" t="s">
        <v>43</v>
      </c>
      <c r="LY27" s="1">
        <v>43360.7</v>
      </c>
      <c r="LZ27" s="1">
        <v>6182094.5</v>
      </c>
      <c r="MA27" s="1">
        <v>7.013917370561E-3</v>
      </c>
      <c r="MB27" s="1"/>
      <c r="MC27" s="22">
        <v>5906</v>
      </c>
      <c r="MD27" s="1" t="s">
        <v>31</v>
      </c>
      <c r="ME27" s="1">
        <v>2019</v>
      </c>
      <c r="MF27" s="1" t="s">
        <v>43</v>
      </c>
      <c r="MG27" s="1">
        <v>309901.90000000002</v>
      </c>
      <c r="MH27" s="1">
        <v>9237079</v>
      </c>
      <c r="MI27" s="1">
        <v>3.3549772606686498E-2</v>
      </c>
      <c r="MJ27" s="1"/>
      <c r="MK27" s="22">
        <v>7102</v>
      </c>
      <c r="ML27" s="1" t="s">
        <v>51</v>
      </c>
      <c r="MM27" s="1">
        <v>2019</v>
      </c>
      <c r="MN27" s="1" t="s">
        <v>43</v>
      </c>
      <c r="MO27" s="1">
        <v>145262.1</v>
      </c>
      <c r="MP27" s="1">
        <v>4608662</v>
      </c>
      <c r="MQ27" s="1">
        <v>3.1519365056495698E-2</v>
      </c>
      <c r="MR27" s="1"/>
      <c r="MS27" s="22">
        <v>8298</v>
      </c>
      <c r="MT27" s="1" t="s">
        <v>57</v>
      </c>
      <c r="MU27" s="1">
        <v>2019</v>
      </c>
      <c r="MV27" s="1" t="s">
        <v>43</v>
      </c>
      <c r="MW27" s="1">
        <v>329843.8</v>
      </c>
      <c r="MX27" s="1">
        <v>11338077</v>
      </c>
      <c r="MY27" s="1">
        <v>2.9091688123126999E-2</v>
      </c>
      <c r="MZ27" s="1"/>
      <c r="NA27" s="22">
        <v>1168</v>
      </c>
      <c r="NB27" s="1" t="s">
        <v>17</v>
      </c>
      <c r="NC27" s="1">
        <v>2020</v>
      </c>
      <c r="ND27" s="1" t="s">
        <v>43</v>
      </c>
      <c r="NE27" s="1">
        <v>28100.799999999999</v>
      </c>
      <c r="NF27" s="1">
        <v>3784752.3</v>
      </c>
      <c r="NG27" s="1">
        <v>7.4247395265470001E-3</v>
      </c>
      <c r="NH27" s="1"/>
      <c r="NI27" s="22">
        <v>2364</v>
      </c>
      <c r="NJ27" s="1" t="s">
        <v>61</v>
      </c>
      <c r="NK27" s="1">
        <v>2020</v>
      </c>
      <c r="NL27" s="1" t="s">
        <v>43</v>
      </c>
      <c r="NM27" s="1">
        <v>356918.5</v>
      </c>
      <c r="NN27" s="1">
        <v>47421769.399999999</v>
      </c>
      <c r="NO27" s="1">
        <v>7.5264694783826001E-3</v>
      </c>
      <c r="NP27" s="1"/>
      <c r="NQ27" s="22">
        <v>3560</v>
      </c>
      <c r="NR27" s="1" t="s">
        <v>44</v>
      </c>
      <c r="NS27" s="1">
        <v>2020</v>
      </c>
      <c r="NT27" s="1" t="s">
        <v>43</v>
      </c>
      <c r="NU27" s="1">
        <v>42116.6</v>
      </c>
      <c r="NV27" s="1">
        <v>5955345.3666666672</v>
      </c>
      <c r="NW27" s="1">
        <v>7.0720667579978001E-3</v>
      </c>
      <c r="NX27" s="1"/>
      <c r="NY27" s="22">
        <v>4756</v>
      </c>
      <c r="NZ27" s="1" t="s">
        <v>38</v>
      </c>
      <c r="OA27" s="1">
        <v>2020</v>
      </c>
      <c r="OB27" s="1" t="s">
        <v>43</v>
      </c>
      <c r="OC27" s="1">
        <v>39841.9</v>
      </c>
      <c r="OD27" s="1">
        <v>5990228.4000000004</v>
      </c>
      <c r="OE27" s="1">
        <v>6.6511487274841996E-3</v>
      </c>
      <c r="OF27" s="1"/>
      <c r="OG27" s="22">
        <v>5952</v>
      </c>
      <c r="OH27" s="1" t="s">
        <v>31</v>
      </c>
      <c r="OI27" s="1">
        <v>2020</v>
      </c>
      <c r="OJ27" s="1" t="s">
        <v>43</v>
      </c>
      <c r="OK27" s="1">
        <v>282835.59999999998</v>
      </c>
      <c r="OL27" s="1">
        <v>9257180.0999999996</v>
      </c>
      <c r="OM27" s="1">
        <v>3.0553105475392001E-2</v>
      </c>
      <c r="ON27" s="1"/>
      <c r="OO27" s="22">
        <v>7148</v>
      </c>
      <c r="OP27" s="1" t="s">
        <v>51</v>
      </c>
      <c r="OQ27" s="1">
        <v>2020</v>
      </c>
      <c r="OR27" s="1" t="s">
        <v>43</v>
      </c>
      <c r="OS27" s="1">
        <v>130757.6</v>
      </c>
      <c r="OT27" s="1">
        <v>4352046.4000000004</v>
      </c>
      <c r="OU27" s="1">
        <v>3.0045084078147599E-2</v>
      </c>
      <c r="OV27" s="1"/>
      <c r="OW27" s="22">
        <v>8344</v>
      </c>
      <c r="OX27" s="1" t="s">
        <v>57</v>
      </c>
      <c r="OY27" s="1">
        <v>2020</v>
      </c>
      <c r="OZ27" s="1" t="s">
        <v>43</v>
      </c>
      <c r="PA27" s="1">
        <v>281801</v>
      </c>
      <c r="PB27" s="1">
        <v>11082248.733333331</v>
      </c>
      <c r="PC27" s="1">
        <v>2.5428142498949199E-2</v>
      </c>
      <c r="PD27" s="1"/>
      <c r="PE27" s="22">
        <v>8390</v>
      </c>
      <c r="PF27" s="1" t="s">
        <v>17</v>
      </c>
      <c r="PG27" s="1">
        <v>2021</v>
      </c>
      <c r="PH27" s="1" t="s">
        <v>43</v>
      </c>
      <c r="PI27" s="1">
        <v>34324.565075376478</v>
      </c>
      <c r="PJ27" s="1">
        <v>4622999.2247741111</v>
      </c>
      <c r="PK27" s="1">
        <v>7.4247395265470001E-3</v>
      </c>
      <c r="PL27" s="1"/>
      <c r="PM27" s="22">
        <v>9310</v>
      </c>
      <c r="PN27" s="1" t="s">
        <v>61</v>
      </c>
      <c r="PO27" s="1">
        <v>2021</v>
      </c>
      <c r="PP27" s="1" t="s">
        <v>43</v>
      </c>
      <c r="PQ27" s="1">
        <v>395814.31117209123</v>
      </c>
      <c r="PR27" s="1">
        <v>52589638.782026872</v>
      </c>
      <c r="PS27" s="1">
        <v>7.5264694783826001E-3</v>
      </c>
      <c r="PT27" s="1"/>
      <c r="PU27" s="22">
        <v>10230</v>
      </c>
      <c r="PV27" s="1" t="s">
        <v>44</v>
      </c>
      <c r="PW27" s="1">
        <v>2021</v>
      </c>
      <c r="PX27" s="1" t="s">
        <v>43</v>
      </c>
      <c r="PY27" s="1">
        <v>49090.378567031272</v>
      </c>
      <c r="PZ27" s="1">
        <v>6941447.2808129201</v>
      </c>
      <c r="QA27" s="1">
        <v>7.0720667579978001E-3</v>
      </c>
      <c r="QB27" s="1"/>
      <c r="QC27" s="22">
        <v>11150</v>
      </c>
      <c r="QD27" s="1" t="s">
        <v>38</v>
      </c>
      <c r="QE27" s="1">
        <v>2021</v>
      </c>
      <c r="QF27" s="1" t="s">
        <v>43</v>
      </c>
      <c r="QG27" s="1">
        <v>44634.188750079928</v>
      </c>
      <c r="QH27" s="1">
        <v>6710748.8614170318</v>
      </c>
      <c r="QI27" s="1">
        <v>6.6511487274841996E-3</v>
      </c>
      <c r="QJ27" s="1"/>
      <c r="QK27" s="22">
        <v>12070</v>
      </c>
      <c r="QL27" s="1" t="s">
        <v>31</v>
      </c>
      <c r="QM27" s="1">
        <v>2021</v>
      </c>
      <c r="QN27" s="1" t="s">
        <v>43</v>
      </c>
      <c r="QO27" s="1">
        <v>312134.60422218492</v>
      </c>
      <c r="QP27" s="1">
        <v>10216133.49495957</v>
      </c>
      <c r="QQ27" s="1">
        <v>3.0553105475392001E-2</v>
      </c>
      <c r="QR27" s="1"/>
      <c r="QS27" s="22">
        <v>12990</v>
      </c>
      <c r="QT27" s="1" t="s">
        <v>51</v>
      </c>
      <c r="QU27" s="1">
        <v>2021</v>
      </c>
      <c r="QV27" s="1" t="s">
        <v>43</v>
      </c>
      <c r="QW27" s="1">
        <v>149384.66956193469</v>
      </c>
      <c r="QX27" s="1">
        <v>4972017.0252605537</v>
      </c>
      <c r="QY27" s="1">
        <v>3.0045084078147599E-2</v>
      </c>
      <c r="QZ27" s="1"/>
      <c r="RA27" s="22">
        <v>13910</v>
      </c>
      <c r="RB27" s="1" t="s">
        <v>57</v>
      </c>
      <c r="RC27" s="1">
        <v>2021</v>
      </c>
      <c r="RD27" s="1" t="s">
        <v>43</v>
      </c>
      <c r="RE27" s="1">
        <v>280969.10196138878</v>
      </c>
      <c r="RF27" s="1">
        <v>11049533.09007922</v>
      </c>
      <c r="RG27" s="1">
        <v>2.5428142498949199E-2</v>
      </c>
      <c r="RH27" s="1"/>
      <c r="RI27" s="22">
        <v>8436</v>
      </c>
      <c r="RJ27" s="1" t="s">
        <v>17</v>
      </c>
      <c r="RK27" s="1">
        <v>2022</v>
      </c>
      <c r="RL27" s="1" t="s">
        <v>43</v>
      </c>
      <c r="RM27" s="1">
        <v>37176.431030150321</v>
      </c>
      <c r="RN27" s="1">
        <v>5007102.3902221443</v>
      </c>
      <c r="RO27" s="1">
        <v>7.4247395265470001E-3</v>
      </c>
      <c r="RP27" s="1"/>
      <c r="RQ27" s="22">
        <v>9356</v>
      </c>
      <c r="RR27" s="1" t="s">
        <v>61</v>
      </c>
      <c r="RS27" s="1">
        <v>2022</v>
      </c>
      <c r="RT27" s="1" t="s">
        <v>43</v>
      </c>
      <c r="RU27" s="1">
        <v>434686.72234605748</v>
      </c>
      <c r="RV27" s="1">
        <v>57754399.13688051</v>
      </c>
      <c r="RW27" s="1">
        <v>7.5264694783826001E-3</v>
      </c>
      <c r="RX27" s="1"/>
      <c r="RY27" s="22">
        <v>10276</v>
      </c>
      <c r="RZ27" s="1" t="s">
        <v>44</v>
      </c>
      <c r="SA27" s="1">
        <v>2022</v>
      </c>
      <c r="SB27" s="1" t="s">
        <v>43</v>
      </c>
      <c r="SC27" s="1">
        <v>48633.10209360742</v>
      </c>
      <c r="SD27" s="1">
        <v>6876787.7563667288</v>
      </c>
      <c r="SE27" s="1">
        <v>7.0720667579978001E-3</v>
      </c>
      <c r="SF27" s="1"/>
      <c r="SG27" s="22">
        <v>11196</v>
      </c>
      <c r="SH27" s="1" t="s">
        <v>38</v>
      </c>
      <c r="SI27" s="1">
        <v>2022</v>
      </c>
      <c r="SJ27" s="1" t="s">
        <v>43</v>
      </c>
      <c r="SK27" s="1">
        <v>42074.33918947979</v>
      </c>
      <c r="SL27" s="1">
        <v>6325875.5612572851</v>
      </c>
      <c r="SM27" s="1">
        <v>6.6511487274841996E-3</v>
      </c>
      <c r="SN27" s="1"/>
      <c r="SO27" s="22">
        <v>12116</v>
      </c>
      <c r="SP27" s="1" t="s">
        <v>31</v>
      </c>
      <c r="SQ27" s="1">
        <v>2022</v>
      </c>
      <c r="SR27" s="1" t="s">
        <v>43</v>
      </c>
      <c r="SS27" s="1">
        <v>298876.25925982313</v>
      </c>
      <c r="ST27" s="1">
        <v>9782189.227885304</v>
      </c>
      <c r="SU27" s="1">
        <v>3.0553105475392001E-2</v>
      </c>
      <c r="SV27" s="1"/>
      <c r="SW27" s="22">
        <v>13036</v>
      </c>
      <c r="SX27" s="1" t="s">
        <v>51</v>
      </c>
      <c r="SY27" s="1">
        <v>2022</v>
      </c>
      <c r="SZ27" s="1" t="s">
        <v>43</v>
      </c>
      <c r="TA27" s="1">
        <v>144233.82862834691</v>
      </c>
      <c r="TB27" s="1">
        <v>4800579.963537232</v>
      </c>
      <c r="TC27" s="1">
        <v>3.0045084078147599E-2</v>
      </c>
      <c r="TD27" s="1"/>
      <c r="TE27" s="22">
        <v>13956</v>
      </c>
      <c r="TF27" s="1" t="s">
        <v>57</v>
      </c>
      <c r="TG27" s="1">
        <v>2022</v>
      </c>
      <c r="TH27" s="1" t="s">
        <v>43</v>
      </c>
      <c r="TI27" s="1">
        <v>237663.01029862999</v>
      </c>
      <c r="TJ27" s="1">
        <v>9346455.8140041605</v>
      </c>
      <c r="TK27" s="1">
        <v>2.5428142498949199E-2</v>
      </c>
      <c r="TL27" s="1"/>
      <c r="TM27" s="22">
        <v>8482</v>
      </c>
      <c r="TN27" s="1" t="s">
        <v>17</v>
      </c>
      <c r="TO27" s="1">
        <v>2023</v>
      </c>
      <c r="TP27" s="1" t="s">
        <v>43</v>
      </c>
      <c r="TQ27" s="1">
        <v>36886.712814069921</v>
      </c>
      <c r="TR27" s="1">
        <v>4968081.7329930915</v>
      </c>
      <c r="TS27" s="1">
        <v>7.4247395265470001E-3</v>
      </c>
      <c r="TT27" s="1"/>
      <c r="TU27" s="22">
        <v>9402</v>
      </c>
      <c r="TV27" s="1" t="s">
        <v>61</v>
      </c>
      <c r="TW27" s="1">
        <v>2023</v>
      </c>
      <c r="TX27" s="1" t="s">
        <v>43</v>
      </c>
      <c r="TY27" s="1">
        <v>463331.66291016451</v>
      </c>
      <c r="TZ27" s="1">
        <v>61560292.543660469</v>
      </c>
      <c r="UA27" s="1">
        <v>7.5264694783826001E-3</v>
      </c>
      <c r="UB27" s="1"/>
      <c r="UC27" s="22">
        <v>10322</v>
      </c>
      <c r="UD27" s="1" t="s">
        <v>44</v>
      </c>
      <c r="UE27" s="1">
        <v>2023</v>
      </c>
      <c r="UF27" s="1" t="s">
        <v>43</v>
      </c>
      <c r="UG27" s="1">
        <v>52628.336637025823</v>
      </c>
      <c r="UH27" s="1">
        <v>7441719.4347760417</v>
      </c>
      <c r="UI27" s="1">
        <v>7.0720667579978001E-3</v>
      </c>
      <c r="UJ27" s="1"/>
      <c r="UK27" s="22">
        <v>11242</v>
      </c>
      <c r="UL27" s="1" t="s">
        <v>38</v>
      </c>
      <c r="UM27" s="1">
        <v>2023</v>
      </c>
      <c r="UN27" s="1" t="s">
        <v>43</v>
      </c>
      <c r="UO27" s="1">
        <v>45919.154085266273</v>
      </c>
      <c r="UP27" s="1">
        <v>6903943.3587640161</v>
      </c>
      <c r="UQ27" s="1">
        <v>6.6511487274841996E-3</v>
      </c>
      <c r="UR27" s="1"/>
      <c r="US27" s="22">
        <v>12162</v>
      </c>
      <c r="UT27" s="1" t="s">
        <v>31</v>
      </c>
      <c r="UU27" s="1">
        <v>2023</v>
      </c>
      <c r="UV27" s="1" t="s">
        <v>43</v>
      </c>
      <c r="UW27" s="1">
        <v>324868.93230189767</v>
      </c>
      <c r="UX27" s="1">
        <v>10632926.743356841</v>
      </c>
      <c r="UY27" s="1">
        <v>3.0553105475392001E-2</v>
      </c>
      <c r="UZ27" s="1"/>
      <c r="VA27" s="22">
        <v>13082</v>
      </c>
      <c r="VB27" s="1" t="s">
        <v>51</v>
      </c>
      <c r="VC27" s="1">
        <v>2023</v>
      </c>
      <c r="VD27" s="1" t="s">
        <v>43</v>
      </c>
      <c r="VE27" s="1">
        <v>157980.82943779169</v>
      </c>
      <c r="VF27" s="1">
        <v>5258125.7228930313</v>
      </c>
      <c r="VG27" s="1">
        <v>3.0045084078147599E-2</v>
      </c>
      <c r="VH27" s="1"/>
      <c r="VI27" s="22">
        <v>14002</v>
      </c>
      <c r="VJ27" s="1" t="s">
        <v>57</v>
      </c>
      <c r="VK27" s="1">
        <v>2023</v>
      </c>
      <c r="VL27" s="1" t="s">
        <v>43</v>
      </c>
      <c r="VM27" s="1">
        <v>234914.735880191</v>
      </c>
      <c r="VN27" s="1">
        <v>9238375.7834414635</v>
      </c>
      <c r="VO27" s="1">
        <v>2.5428142498949199E-2</v>
      </c>
      <c r="VP27" s="1"/>
      <c r="VQ27" s="22">
        <v>8528</v>
      </c>
      <c r="VR27" s="1" t="s">
        <v>17</v>
      </c>
      <c r="VS27" s="1">
        <v>2024</v>
      </c>
      <c r="VT27" s="1" t="s">
        <v>43</v>
      </c>
      <c r="VU27" s="1">
        <v>38039.305904522167</v>
      </c>
      <c r="VV27" s="1">
        <v>5123318.5714479852</v>
      </c>
      <c r="VW27" s="1">
        <v>7.4247395265470001E-3</v>
      </c>
      <c r="VX27" s="1"/>
      <c r="VY27" s="22">
        <v>9448</v>
      </c>
      <c r="VZ27" s="1" t="s">
        <v>61</v>
      </c>
      <c r="WA27" s="1">
        <v>2024</v>
      </c>
      <c r="WB27" s="1" t="s">
        <v>43</v>
      </c>
      <c r="WC27" s="1">
        <v>487804.7180939464</v>
      </c>
      <c r="WD27" s="1">
        <v>64811890.820126347</v>
      </c>
      <c r="WE27" s="1">
        <v>7.5264694783826001E-3</v>
      </c>
      <c r="WF27" s="1"/>
      <c r="WG27" s="22">
        <v>10368</v>
      </c>
      <c r="WH27" s="1" t="s">
        <v>44</v>
      </c>
      <c r="WI27" s="1">
        <v>2024</v>
      </c>
      <c r="WJ27" s="1" t="s">
        <v>43</v>
      </c>
      <c r="WK27" s="1">
        <v>56907.026371449792</v>
      </c>
      <c r="WL27" s="1">
        <v>8046732.0684004631</v>
      </c>
      <c r="WM27" s="1">
        <v>7.0720667579978001E-3</v>
      </c>
      <c r="WN27" s="1"/>
      <c r="WO27" s="22">
        <v>11288</v>
      </c>
      <c r="WP27" s="1" t="s">
        <v>38</v>
      </c>
      <c r="WQ27" s="1">
        <v>2024</v>
      </c>
      <c r="WR27" s="1" t="s">
        <v>43</v>
      </c>
      <c r="WS27" s="1">
        <v>47578.023267986362</v>
      </c>
      <c r="WT27" s="1">
        <v>7153354.2877160665</v>
      </c>
      <c r="WU27" s="1">
        <v>6.6511487274841996E-3</v>
      </c>
      <c r="WV27" s="1"/>
      <c r="WW27" s="22">
        <v>12208</v>
      </c>
      <c r="WX27" s="1" t="s">
        <v>31</v>
      </c>
      <c r="WY27" s="1">
        <v>2024</v>
      </c>
      <c r="WZ27" s="1" t="s">
        <v>43</v>
      </c>
      <c r="XA27" s="1">
        <v>334504.38246052148</v>
      </c>
      <c r="XB27" s="1">
        <v>10948294.03609846</v>
      </c>
      <c r="XC27" s="1">
        <v>3.0553105475392001E-2</v>
      </c>
      <c r="XD27" s="1"/>
      <c r="XE27" s="22">
        <v>13128</v>
      </c>
      <c r="XF27" s="1" t="s">
        <v>51</v>
      </c>
      <c r="XG27" s="1">
        <v>2024</v>
      </c>
      <c r="XH27" s="1" t="s">
        <v>43</v>
      </c>
      <c r="XI27" s="1">
        <v>162653.19193490839</v>
      </c>
      <c r="XJ27" s="1">
        <v>5413637.436055948</v>
      </c>
      <c r="XK27" s="1">
        <v>3.0045084078147599E-2</v>
      </c>
      <c r="XL27" s="1"/>
      <c r="XM27" s="22">
        <v>14048</v>
      </c>
      <c r="XN27" s="1" t="s">
        <v>57</v>
      </c>
      <c r="XO27" s="1">
        <v>2024</v>
      </c>
      <c r="XP27" s="1" t="s">
        <v>43</v>
      </c>
      <c r="XQ27" s="1">
        <v>224490.36206661109</v>
      </c>
      <c r="XR27" s="1">
        <v>8828421.583522588</v>
      </c>
      <c r="XS27" s="1">
        <v>2.5428142498949199E-2</v>
      </c>
      <c r="XT27" s="1"/>
    </row>
    <row r="28" spans="1:644" x14ac:dyDescent="0.25">
      <c r="A28" s="2">
        <v>19</v>
      </c>
      <c r="B28" s="1" t="s">
        <v>17</v>
      </c>
      <c r="C28" s="1" t="s">
        <v>45</v>
      </c>
      <c r="D28" s="1">
        <v>1.9939163678158262E-2</v>
      </c>
      <c r="E28" s="1">
        <v>2.170281186041436E-2</v>
      </c>
      <c r="F28" s="1">
        <v>2.2985083762895899E-2</v>
      </c>
      <c r="G28" s="1">
        <v>2.1099564740557498E-2</v>
      </c>
      <c r="H28" s="1">
        <v>1.975538741263369E-2</v>
      </c>
      <c r="I28" s="1">
        <v>2.0134992597326949E-2</v>
      </c>
      <c r="J28" s="1">
        <v>1.537984401251305E-2</v>
      </c>
      <c r="K28" s="1">
        <v>1.5379844012513031E-2</v>
      </c>
      <c r="L28" s="1">
        <v>1.5379844012513031E-2</v>
      </c>
      <c r="M28" s="1">
        <v>1.5379844012513031E-2</v>
      </c>
      <c r="N28" s="1">
        <v>1.5379844012513031E-2</v>
      </c>
      <c r="O28" s="1">
        <v>1.8410565828595619E-2</v>
      </c>
      <c r="P28" s="1"/>
      <c r="Q28" s="2">
        <v>163</v>
      </c>
      <c r="R28" s="1" t="s">
        <v>44</v>
      </c>
      <c r="S28" s="17" t="s">
        <v>21</v>
      </c>
      <c r="T28" s="17">
        <v>7.4857341507347075E-2</v>
      </c>
      <c r="U28" s="1"/>
      <c r="AC28" s="22">
        <v>893</v>
      </c>
      <c r="AD28" s="1" t="s">
        <v>17</v>
      </c>
      <c r="AE28" s="1">
        <v>2014</v>
      </c>
      <c r="AF28" s="1" t="s">
        <v>45</v>
      </c>
      <c r="AG28" s="1">
        <v>81515.600000000006</v>
      </c>
      <c r="AH28" s="1">
        <v>4088215.6</v>
      </c>
      <c r="AI28" s="1">
        <v>1.9939163678158199E-2</v>
      </c>
      <c r="AJ28" s="1"/>
      <c r="AK28" s="22">
        <v>2089</v>
      </c>
      <c r="AL28" s="1" t="s">
        <v>61</v>
      </c>
      <c r="AM28" s="1">
        <v>2014</v>
      </c>
      <c r="AN28" s="1" t="s">
        <v>45</v>
      </c>
      <c r="AO28" s="1">
        <v>592851.5</v>
      </c>
      <c r="AP28" s="1">
        <v>40350049.200000003</v>
      </c>
      <c r="AQ28" s="1">
        <v>1.4692708230948001E-2</v>
      </c>
      <c r="AR28" s="1"/>
      <c r="AS28" s="22">
        <v>3285</v>
      </c>
      <c r="AT28" s="1" t="s">
        <v>44</v>
      </c>
      <c r="AU28" s="1">
        <v>2014</v>
      </c>
      <c r="AV28" s="1" t="s">
        <v>45</v>
      </c>
      <c r="AW28" s="1">
        <v>86530.1</v>
      </c>
      <c r="AX28" s="1">
        <v>6735816.8000000007</v>
      </c>
      <c r="AY28" s="1">
        <v>1.2846266840273899E-2</v>
      </c>
      <c r="AZ28" s="1"/>
      <c r="BA28" s="22">
        <v>4481</v>
      </c>
      <c r="BB28" s="1" t="s">
        <v>38</v>
      </c>
      <c r="BC28" s="1">
        <v>2014</v>
      </c>
      <c r="BD28" s="1" t="s">
        <v>45</v>
      </c>
      <c r="BE28" s="1">
        <v>70256.600000000006</v>
      </c>
      <c r="BF28" s="1">
        <v>6538596.7000000002</v>
      </c>
      <c r="BG28" s="1">
        <v>1.07449049426767E-2</v>
      </c>
      <c r="BH28" s="1"/>
      <c r="BI28" s="22">
        <v>5677</v>
      </c>
      <c r="BJ28" s="1" t="s">
        <v>31</v>
      </c>
      <c r="BK28" s="1">
        <v>2014</v>
      </c>
      <c r="BL28" s="1" t="s">
        <v>45</v>
      </c>
      <c r="BM28" s="1">
        <v>474164.5</v>
      </c>
      <c r="BN28" s="1">
        <v>9155477.5</v>
      </c>
      <c r="BO28" s="1">
        <v>5.1790253430255201E-2</v>
      </c>
      <c r="BP28" s="1"/>
      <c r="BQ28" s="22">
        <v>6873</v>
      </c>
      <c r="BR28" s="1" t="s">
        <v>51</v>
      </c>
      <c r="BS28" s="1">
        <v>2014</v>
      </c>
      <c r="BT28" s="1" t="s">
        <v>45</v>
      </c>
      <c r="BU28" s="1">
        <v>67931.7</v>
      </c>
      <c r="BV28" s="1">
        <v>4981875.5</v>
      </c>
      <c r="BW28" s="1">
        <v>1.36357682964979E-2</v>
      </c>
      <c r="BX28" s="1"/>
      <c r="BY28" s="22">
        <v>8069</v>
      </c>
      <c r="BZ28" s="1" t="s">
        <v>57</v>
      </c>
      <c r="CA28" s="1">
        <v>2014</v>
      </c>
      <c r="CB28" s="1" t="s">
        <v>45</v>
      </c>
      <c r="CC28" s="1">
        <v>436136.8</v>
      </c>
      <c r="CD28" s="1">
        <v>11026913.800000001</v>
      </c>
      <c r="CE28" s="1">
        <v>3.9552027694276501E-2</v>
      </c>
      <c r="CF28" s="1"/>
      <c r="CG28" s="22">
        <v>939</v>
      </c>
      <c r="CH28" s="1" t="s">
        <v>17</v>
      </c>
      <c r="CI28" s="1">
        <v>2015</v>
      </c>
      <c r="CJ28" s="1" t="s">
        <v>45</v>
      </c>
      <c r="CK28" s="1">
        <v>77156.399999999994</v>
      </c>
      <c r="CL28" s="1">
        <v>3555133.8</v>
      </c>
      <c r="CM28" s="1">
        <v>2.1702811860414301E-2</v>
      </c>
      <c r="CN28" s="1"/>
      <c r="CO28" s="22">
        <v>2135</v>
      </c>
      <c r="CP28" s="1" t="s">
        <v>61</v>
      </c>
      <c r="CQ28" s="1">
        <v>2015</v>
      </c>
      <c r="CR28" s="1" t="s">
        <v>45</v>
      </c>
      <c r="CS28" s="1">
        <v>637558.5</v>
      </c>
      <c r="CT28" s="1">
        <v>41208556.399999999</v>
      </c>
      <c r="CU28" s="1">
        <v>1.5471507757063701E-2</v>
      </c>
      <c r="CV28" s="1"/>
      <c r="CW28" s="22">
        <v>3331</v>
      </c>
      <c r="CX28" s="1" t="s">
        <v>44</v>
      </c>
      <c r="CY28" s="1">
        <v>2015</v>
      </c>
      <c r="CZ28" s="1" t="s">
        <v>45</v>
      </c>
      <c r="DA28" s="1">
        <v>83528.800000000003</v>
      </c>
      <c r="DB28" s="1">
        <v>6404349.4000000004</v>
      </c>
      <c r="DC28" s="1">
        <v>1.3042511390774499E-2</v>
      </c>
      <c r="DD28" s="1"/>
      <c r="DE28" s="22">
        <v>4527</v>
      </c>
      <c r="DF28" s="1" t="s">
        <v>38</v>
      </c>
      <c r="DG28" s="1">
        <v>2015</v>
      </c>
      <c r="DH28" s="1" t="s">
        <v>45</v>
      </c>
      <c r="DI28" s="1">
        <v>62583.1</v>
      </c>
      <c r="DJ28" s="1">
        <v>5531517.5999999996</v>
      </c>
      <c r="DK28" s="1">
        <v>1.13139113938641E-2</v>
      </c>
      <c r="DL28" s="1"/>
      <c r="DM28" s="22">
        <v>5723</v>
      </c>
      <c r="DN28" s="1" t="s">
        <v>31</v>
      </c>
      <c r="DO28" s="1">
        <v>2015</v>
      </c>
      <c r="DP28" s="1" t="s">
        <v>45</v>
      </c>
      <c r="DQ28" s="1">
        <v>425505.5</v>
      </c>
      <c r="DR28" s="1">
        <v>7894528</v>
      </c>
      <c r="DS28" s="1">
        <v>5.38987891359686E-2</v>
      </c>
      <c r="DT28" s="1"/>
      <c r="DU28" s="22">
        <v>6919</v>
      </c>
      <c r="DV28" s="1" t="s">
        <v>51</v>
      </c>
      <c r="DW28" s="1">
        <v>2015</v>
      </c>
      <c r="DX28" s="1" t="s">
        <v>45</v>
      </c>
      <c r="DY28" s="1">
        <v>65063</v>
      </c>
      <c r="DZ28" s="1">
        <v>4209274.5999999996</v>
      </c>
      <c r="EA28" s="1">
        <v>1.54570576127297E-2</v>
      </c>
      <c r="EB28" s="1"/>
      <c r="EC28" s="22">
        <v>8115</v>
      </c>
      <c r="ED28" s="1" t="s">
        <v>57</v>
      </c>
      <c r="EE28" s="1">
        <v>2015</v>
      </c>
      <c r="EF28" s="1" t="s">
        <v>45</v>
      </c>
      <c r="EG28" s="1">
        <v>401486.9</v>
      </c>
      <c r="EH28" s="1">
        <v>9729477.0999999996</v>
      </c>
      <c r="EI28" s="1">
        <v>4.1265002823224699E-2</v>
      </c>
      <c r="EJ28" s="1"/>
      <c r="EK28" s="22">
        <v>985</v>
      </c>
      <c r="EL28" s="1" t="s">
        <v>17</v>
      </c>
      <c r="EM28" s="1">
        <v>2016</v>
      </c>
      <c r="EN28" s="1" t="s">
        <v>45</v>
      </c>
      <c r="EO28" s="1">
        <v>79606.7</v>
      </c>
      <c r="EP28" s="1">
        <v>3463407</v>
      </c>
      <c r="EQ28" s="1">
        <v>2.2985083762895899E-2</v>
      </c>
      <c r="ER28" s="1"/>
      <c r="ES28" s="22">
        <v>2181</v>
      </c>
      <c r="ET28" s="1" t="s">
        <v>61</v>
      </c>
      <c r="EU28" s="1">
        <v>2016</v>
      </c>
      <c r="EV28" s="1" t="s">
        <v>45</v>
      </c>
      <c r="EW28" s="1">
        <v>646442.1</v>
      </c>
      <c r="EX28" s="1">
        <v>42141395.200000003</v>
      </c>
      <c r="EY28" s="1">
        <v>1.5339836209314599E-2</v>
      </c>
      <c r="EZ28" s="1"/>
      <c r="FA28" s="22">
        <v>3377</v>
      </c>
      <c r="FB28" s="1" t="s">
        <v>44</v>
      </c>
      <c r="FC28" s="1">
        <v>2016</v>
      </c>
      <c r="FD28" s="1" t="s">
        <v>45</v>
      </c>
      <c r="FE28" s="1">
        <v>82998.2</v>
      </c>
      <c r="FF28" s="1">
        <v>5868597.7999999998</v>
      </c>
      <c r="FG28" s="1">
        <v>1.4142765074137399E-2</v>
      </c>
      <c r="FH28" s="1"/>
      <c r="FI28" s="22">
        <v>4573</v>
      </c>
      <c r="FJ28" s="1" t="s">
        <v>38</v>
      </c>
      <c r="FK28" s="1">
        <v>2016</v>
      </c>
      <c r="FL28" s="1" t="s">
        <v>45</v>
      </c>
      <c r="FM28" s="1">
        <v>66471.899999999994</v>
      </c>
      <c r="FN28" s="1">
        <v>5582986.5</v>
      </c>
      <c r="FO28" s="1">
        <v>1.1906154528584199E-2</v>
      </c>
      <c r="FP28" s="1"/>
      <c r="FQ28" s="22">
        <v>5769</v>
      </c>
      <c r="FR28" s="1" t="s">
        <v>31</v>
      </c>
      <c r="FS28" s="1">
        <v>2016</v>
      </c>
      <c r="FT28" s="1" t="s">
        <v>45</v>
      </c>
      <c r="FU28" s="1">
        <v>439746.3</v>
      </c>
      <c r="FV28" s="1">
        <v>8130820.9000000004</v>
      </c>
      <c r="FW28" s="1">
        <v>5.4083874852045903E-2</v>
      </c>
      <c r="FX28" s="1"/>
      <c r="FY28" s="22">
        <v>6965</v>
      </c>
      <c r="FZ28" s="1" t="s">
        <v>51</v>
      </c>
      <c r="GA28" s="1">
        <v>2016</v>
      </c>
      <c r="GB28" s="1" t="s">
        <v>45</v>
      </c>
      <c r="GC28" s="1">
        <v>70958</v>
      </c>
      <c r="GD28" s="1">
        <v>4230502.5999999996</v>
      </c>
      <c r="GE28" s="1">
        <v>1.6772947970768299E-2</v>
      </c>
      <c r="GF28" s="1"/>
      <c r="GG28" s="22">
        <v>8161</v>
      </c>
      <c r="GH28" s="1" t="s">
        <v>57</v>
      </c>
      <c r="GI28" s="1">
        <v>2016</v>
      </c>
      <c r="GJ28" s="1" t="s">
        <v>45</v>
      </c>
      <c r="GK28" s="1">
        <v>438852.3</v>
      </c>
      <c r="GL28" s="1">
        <v>10773649.5</v>
      </c>
      <c r="GM28" s="1">
        <v>4.0733857176252102E-2</v>
      </c>
      <c r="GN28" s="1"/>
      <c r="GO28" s="22">
        <v>1031</v>
      </c>
      <c r="GP28" s="1" t="s">
        <v>17</v>
      </c>
      <c r="GQ28" s="1">
        <v>2017</v>
      </c>
      <c r="GR28" s="1" t="s">
        <v>45</v>
      </c>
      <c r="GS28" s="1">
        <v>78484.800000000003</v>
      </c>
      <c r="GT28" s="1">
        <v>3719735.5</v>
      </c>
      <c r="GU28" s="1">
        <v>2.1099564740557401E-2</v>
      </c>
      <c r="GV28" s="1"/>
      <c r="GW28" s="22">
        <v>2227</v>
      </c>
      <c r="GX28" s="1" t="s">
        <v>61</v>
      </c>
      <c r="GY28" s="1">
        <v>2017</v>
      </c>
      <c r="GZ28" s="1" t="s">
        <v>45</v>
      </c>
      <c r="HA28" s="1">
        <v>639857.6</v>
      </c>
      <c r="HB28" s="1">
        <v>44107004.100000001</v>
      </c>
      <c r="HC28" s="1">
        <v>1.45069385930022E-2</v>
      </c>
      <c r="HD28" s="1"/>
      <c r="HE28" s="22">
        <v>3423</v>
      </c>
      <c r="HF28" s="1" t="s">
        <v>44</v>
      </c>
      <c r="HG28" s="1">
        <v>2017</v>
      </c>
      <c r="HH28" s="1" t="s">
        <v>45</v>
      </c>
      <c r="HI28" s="1">
        <v>83169.7</v>
      </c>
      <c r="HJ28" s="1">
        <v>5855367.5</v>
      </c>
      <c r="HK28" s="1">
        <v>1.42040102521319E-2</v>
      </c>
      <c r="HL28" s="1"/>
      <c r="HM28" s="22">
        <v>4619</v>
      </c>
      <c r="HN28" s="1" t="s">
        <v>38</v>
      </c>
      <c r="HO28" s="1">
        <v>2017</v>
      </c>
      <c r="HP28" s="1" t="s">
        <v>45</v>
      </c>
      <c r="HQ28" s="1">
        <v>75738.899999999994</v>
      </c>
      <c r="HR28" s="1">
        <v>5923445.7000000002</v>
      </c>
      <c r="HS28" s="1">
        <v>1.2786290925229499E-2</v>
      </c>
      <c r="HT28" s="1"/>
      <c r="HU28" s="22">
        <v>5815</v>
      </c>
      <c r="HV28" s="1" t="s">
        <v>31</v>
      </c>
      <c r="HW28" s="1">
        <v>2017</v>
      </c>
      <c r="HX28" s="1" t="s">
        <v>45</v>
      </c>
      <c r="HY28" s="1">
        <v>467173.2</v>
      </c>
      <c r="HZ28" s="1">
        <v>8686095.3000000007</v>
      </c>
      <c r="IA28" s="1">
        <v>5.3784028825932799E-2</v>
      </c>
      <c r="IB28" s="1"/>
      <c r="IC28" s="22">
        <v>7011</v>
      </c>
      <c r="ID28" s="1" t="s">
        <v>51</v>
      </c>
      <c r="IE28" s="1">
        <v>2017</v>
      </c>
      <c r="IF28" s="1" t="s">
        <v>45</v>
      </c>
      <c r="IG28" s="1">
        <v>78264.399999999994</v>
      </c>
      <c r="IH28" s="1">
        <v>4472691.8</v>
      </c>
      <c r="II28" s="1">
        <v>1.7498276988367398E-2</v>
      </c>
      <c r="IJ28" s="1"/>
      <c r="IK28" s="22">
        <v>8207</v>
      </c>
      <c r="IL28" s="1" t="s">
        <v>57</v>
      </c>
      <c r="IM28" s="1">
        <v>2017</v>
      </c>
      <c r="IN28" s="1" t="s">
        <v>45</v>
      </c>
      <c r="IO28" s="1">
        <v>452937</v>
      </c>
      <c r="IP28" s="1">
        <v>10750260.5</v>
      </c>
      <c r="IQ28" s="1">
        <v>4.2132653436630599E-2</v>
      </c>
      <c r="IR28" s="1"/>
      <c r="IS28" s="22">
        <v>1077</v>
      </c>
      <c r="IT28" s="1" t="s">
        <v>17</v>
      </c>
      <c r="IU28" s="1">
        <v>2018</v>
      </c>
      <c r="IV28" s="1" t="s">
        <v>45</v>
      </c>
      <c r="IW28" s="1">
        <v>77128.3</v>
      </c>
      <c r="IX28" s="1">
        <v>3904165.4</v>
      </c>
      <c r="IY28" s="1">
        <v>1.97553874126336E-2</v>
      </c>
      <c r="IZ28" s="1"/>
      <c r="JA28" s="22">
        <v>2273</v>
      </c>
      <c r="JB28" s="1" t="s">
        <v>61</v>
      </c>
      <c r="JC28" s="1">
        <v>2018</v>
      </c>
      <c r="JD28" s="1" t="s">
        <v>45</v>
      </c>
      <c r="JE28" s="1">
        <v>671859.9</v>
      </c>
      <c r="JF28" s="1">
        <v>46669099.200000003</v>
      </c>
      <c r="JG28" s="1">
        <v>1.4396247442461801E-2</v>
      </c>
      <c r="JH28" s="1"/>
      <c r="JI28" s="22">
        <v>3469</v>
      </c>
      <c r="JJ28" s="1" t="s">
        <v>44</v>
      </c>
      <c r="JK28" s="1">
        <v>2018</v>
      </c>
      <c r="JL28" s="1" t="s">
        <v>45</v>
      </c>
      <c r="JM28" s="1">
        <v>86289.8</v>
      </c>
      <c r="JN28" s="1">
        <v>6336724.7000000002</v>
      </c>
      <c r="JO28" s="1">
        <v>1.3617413424951199E-2</v>
      </c>
      <c r="JP28" s="1"/>
      <c r="JQ28" s="22">
        <v>4665</v>
      </c>
      <c r="JR28" s="1" t="s">
        <v>38</v>
      </c>
      <c r="JS28" s="1">
        <v>2018</v>
      </c>
      <c r="JT28" s="1" t="s">
        <v>45</v>
      </c>
      <c r="JU28" s="1">
        <v>81941.100000000006</v>
      </c>
      <c r="JV28" s="1">
        <v>6390706</v>
      </c>
      <c r="JW28" s="1">
        <v>1.28219167021609E-2</v>
      </c>
      <c r="JX28" s="1"/>
      <c r="JY28" s="22">
        <v>5861</v>
      </c>
      <c r="JZ28" s="1" t="s">
        <v>31</v>
      </c>
      <c r="KA28" s="1">
        <v>2018</v>
      </c>
      <c r="KB28" s="1" t="s">
        <v>45</v>
      </c>
      <c r="KC28" s="1">
        <v>491658.4</v>
      </c>
      <c r="KD28" s="1">
        <v>9443218.3000000007</v>
      </c>
      <c r="KE28" s="1">
        <v>5.2064707643155898E-2</v>
      </c>
      <c r="KF28" s="1"/>
      <c r="KG28" s="22">
        <v>7057</v>
      </c>
      <c r="KH28" s="1" t="s">
        <v>51</v>
      </c>
      <c r="KI28" s="1">
        <v>2018</v>
      </c>
      <c r="KJ28" s="1" t="s">
        <v>45</v>
      </c>
      <c r="KK28" s="1">
        <v>79864.5</v>
      </c>
      <c r="KL28" s="1">
        <v>4803387.8</v>
      </c>
      <c r="KM28" s="1">
        <v>1.66267025119229E-2</v>
      </c>
      <c r="KN28" s="1"/>
      <c r="KO28" s="22">
        <v>8253</v>
      </c>
      <c r="KP28" s="1" t="s">
        <v>57</v>
      </c>
      <c r="KQ28" s="1">
        <v>2018</v>
      </c>
      <c r="KR28" s="1" t="s">
        <v>45</v>
      </c>
      <c r="KS28" s="1">
        <v>467618.7</v>
      </c>
      <c r="KT28" s="1">
        <v>11172914.4</v>
      </c>
      <c r="KU28" s="1">
        <v>4.1852884865921799E-2</v>
      </c>
      <c r="KV28" s="1"/>
      <c r="KW28" s="22">
        <v>1123</v>
      </c>
      <c r="KX28" s="1" t="s">
        <v>17</v>
      </c>
      <c r="KY28" s="1">
        <v>2019</v>
      </c>
      <c r="KZ28" s="1" t="s">
        <v>45</v>
      </c>
      <c r="LA28" s="1">
        <v>79640.5</v>
      </c>
      <c r="LB28" s="1">
        <v>3955328</v>
      </c>
      <c r="LC28" s="1">
        <v>2.0134992597326901E-2</v>
      </c>
      <c r="LD28" s="1"/>
      <c r="LE28" s="22">
        <v>2319</v>
      </c>
      <c r="LF28" s="1" t="s">
        <v>61</v>
      </c>
      <c r="LG28" s="1">
        <v>2019</v>
      </c>
      <c r="LH28" s="1" t="s">
        <v>45</v>
      </c>
      <c r="LI28" s="1">
        <v>676330.2</v>
      </c>
      <c r="LJ28" s="1">
        <v>48356774.5</v>
      </c>
      <c r="LK28" s="1">
        <v>1.39862554314907E-2</v>
      </c>
      <c r="LL28" s="1"/>
      <c r="LM28" s="22">
        <v>3515</v>
      </c>
      <c r="LN28" s="1" t="s">
        <v>44</v>
      </c>
      <c r="LO28" s="1">
        <v>2019</v>
      </c>
      <c r="LP28" s="1" t="s">
        <v>45</v>
      </c>
      <c r="LQ28" s="1">
        <v>80747.100000000006</v>
      </c>
      <c r="LR28" s="1">
        <v>6269787.0999999996</v>
      </c>
      <c r="LS28" s="1">
        <v>1.2878762661653999E-2</v>
      </c>
      <c r="LT28" s="1"/>
      <c r="LU28" s="22">
        <v>4711</v>
      </c>
      <c r="LV28" s="1" t="s">
        <v>38</v>
      </c>
      <c r="LW28" s="1">
        <v>2019</v>
      </c>
      <c r="LX28" s="1" t="s">
        <v>45</v>
      </c>
      <c r="LY28" s="1">
        <v>76510.100000000006</v>
      </c>
      <c r="LZ28" s="1">
        <v>6182094.5</v>
      </c>
      <c r="MA28" s="1">
        <v>1.2376080630925299E-2</v>
      </c>
      <c r="MB28" s="1"/>
      <c r="MC28" s="22">
        <v>5907</v>
      </c>
      <c r="MD28" s="1" t="s">
        <v>31</v>
      </c>
      <c r="ME28" s="1">
        <v>2019</v>
      </c>
      <c r="MF28" s="1" t="s">
        <v>45</v>
      </c>
      <c r="MG28" s="1">
        <v>459684</v>
      </c>
      <c r="MH28" s="1">
        <v>9237079</v>
      </c>
      <c r="MI28" s="1">
        <v>4.97650826630366E-2</v>
      </c>
      <c r="MJ28" s="1"/>
      <c r="MK28" s="22">
        <v>7103</v>
      </c>
      <c r="ML28" s="1" t="s">
        <v>51</v>
      </c>
      <c r="MM28" s="1">
        <v>2019</v>
      </c>
      <c r="MN28" s="1" t="s">
        <v>45</v>
      </c>
      <c r="MO28" s="1">
        <v>70377.600000000006</v>
      </c>
      <c r="MP28" s="1">
        <v>4608662</v>
      </c>
      <c r="MQ28" s="1">
        <v>1.5270722825844E-2</v>
      </c>
      <c r="MR28" s="1"/>
      <c r="MS28" s="22">
        <v>8299</v>
      </c>
      <c r="MT28" s="1" t="s">
        <v>57</v>
      </c>
      <c r="MU28" s="1">
        <v>2019</v>
      </c>
      <c r="MV28" s="1" t="s">
        <v>45</v>
      </c>
      <c r="MW28" s="1">
        <v>462746.6</v>
      </c>
      <c r="MX28" s="1">
        <v>11338077</v>
      </c>
      <c r="MY28" s="1">
        <v>4.0813499502605197E-2</v>
      </c>
      <c r="MZ28" s="1"/>
      <c r="NA28" s="22">
        <v>1169</v>
      </c>
      <c r="NB28" s="1" t="s">
        <v>17</v>
      </c>
      <c r="NC28" s="1">
        <v>2020</v>
      </c>
      <c r="ND28" s="1" t="s">
        <v>45</v>
      </c>
      <c r="NE28" s="1">
        <v>58208.9</v>
      </c>
      <c r="NF28" s="1">
        <v>3784752.3</v>
      </c>
      <c r="NG28" s="1">
        <v>1.5379844012512999E-2</v>
      </c>
      <c r="NH28" s="1"/>
      <c r="NI28" s="22">
        <v>2365</v>
      </c>
      <c r="NJ28" s="1" t="s">
        <v>61</v>
      </c>
      <c r="NK28" s="1">
        <v>2020</v>
      </c>
      <c r="NL28" s="1" t="s">
        <v>45</v>
      </c>
      <c r="NM28" s="1">
        <v>610365.19999999995</v>
      </c>
      <c r="NN28" s="1">
        <v>47421769.399999999</v>
      </c>
      <c r="NO28" s="1">
        <v>1.28709916926887E-2</v>
      </c>
      <c r="NP28" s="1"/>
      <c r="NQ28" s="22">
        <v>3561</v>
      </c>
      <c r="NR28" s="1" t="s">
        <v>44</v>
      </c>
      <c r="NS28" s="1">
        <v>2020</v>
      </c>
      <c r="NT28" s="1" t="s">
        <v>45</v>
      </c>
      <c r="NU28" s="1">
        <v>66464.100000000006</v>
      </c>
      <c r="NV28" s="1">
        <v>5955345.3666666672</v>
      </c>
      <c r="NW28" s="1">
        <v>1.11604106744192E-2</v>
      </c>
      <c r="NX28" s="1"/>
      <c r="NY28" s="22">
        <v>4757</v>
      </c>
      <c r="NZ28" s="1" t="s">
        <v>38</v>
      </c>
      <c r="OA28" s="1">
        <v>2020</v>
      </c>
      <c r="OB28" s="1" t="s">
        <v>45</v>
      </c>
      <c r="OC28" s="1">
        <v>58550.5</v>
      </c>
      <c r="OD28" s="1">
        <v>5990228.4000000004</v>
      </c>
      <c r="OE28" s="1">
        <v>9.7743351488901002E-3</v>
      </c>
      <c r="OF28" s="1"/>
      <c r="OG28" s="22">
        <v>5953</v>
      </c>
      <c r="OH28" s="1" t="s">
        <v>31</v>
      </c>
      <c r="OI28" s="1">
        <v>2020</v>
      </c>
      <c r="OJ28" s="1" t="s">
        <v>45</v>
      </c>
      <c r="OK28" s="1">
        <v>409005.6</v>
      </c>
      <c r="OL28" s="1">
        <v>9257180.0999999996</v>
      </c>
      <c r="OM28" s="1">
        <v>4.41825259508562E-2</v>
      </c>
      <c r="ON28" s="1"/>
      <c r="OO28" s="22">
        <v>7149</v>
      </c>
      <c r="OP28" s="1" t="s">
        <v>51</v>
      </c>
      <c r="OQ28" s="1">
        <v>2020</v>
      </c>
      <c r="OR28" s="1" t="s">
        <v>45</v>
      </c>
      <c r="OS28" s="1">
        <v>62194.5</v>
      </c>
      <c r="OT28" s="1">
        <v>4352046.4000000004</v>
      </c>
      <c r="OU28" s="1">
        <v>1.42908632591784E-2</v>
      </c>
      <c r="OV28" s="1"/>
      <c r="OW28" s="22">
        <v>8345</v>
      </c>
      <c r="OX28" s="1" t="s">
        <v>57</v>
      </c>
      <c r="OY28" s="1">
        <v>2020</v>
      </c>
      <c r="OZ28" s="1" t="s">
        <v>45</v>
      </c>
      <c r="PA28" s="1">
        <v>416204.1</v>
      </c>
      <c r="PB28" s="1">
        <v>11082248.733333331</v>
      </c>
      <c r="PC28" s="1">
        <v>3.7555924796033098E-2</v>
      </c>
      <c r="PD28" s="1"/>
      <c r="PE28" s="22">
        <v>8391</v>
      </c>
      <c r="PF28" s="1" t="s">
        <v>17</v>
      </c>
      <c r="PG28" s="1">
        <v>2021</v>
      </c>
      <c r="PH28" s="1" t="s">
        <v>45</v>
      </c>
      <c r="PI28" s="1">
        <v>71101.006946994356</v>
      </c>
      <c r="PJ28" s="1">
        <v>4622999.2247741111</v>
      </c>
      <c r="PK28" s="1">
        <v>1.5379844012512999E-2</v>
      </c>
      <c r="PL28" s="1"/>
      <c r="PM28" s="22">
        <v>9311</v>
      </c>
      <c r="PN28" s="1" t="s">
        <v>61</v>
      </c>
      <c r="PO28" s="1">
        <v>2021</v>
      </c>
      <c r="PP28" s="1" t="s">
        <v>45</v>
      </c>
      <c r="PQ28" s="1">
        <v>676880.80388496735</v>
      </c>
      <c r="PR28" s="1">
        <v>52589638.782026872</v>
      </c>
      <c r="PS28" s="1">
        <v>1.28709916926887E-2</v>
      </c>
      <c r="PT28" s="1"/>
      <c r="PU28" s="22">
        <v>10231</v>
      </c>
      <c r="PV28" s="1" t="s">
        <v>44</v>
      </c>
      <c r="PW28" s="1">
        <v>2021</v>
      </c>
      <c r="PX28" s="1" t="s">
        <v>45</v>
      </c>
      <c r="PY28" s="1">
        <v>77469.40232870265</v>
      </c>
      <c r="PZ28" s="1">
        <v>6941447.2808129201</v>
      </c>
      <c r="QA28" s="1">
        <v>1.11604106744192E-2</v>
      </c>
      <c r="QB28" s="1"/>
      <c r="QC28" s="22">
        <v>11151</v>
      </c>
      <c r="QD28" s="1" t="s">
        <v>38</v>
      </c>
      <c r="QE28" s="1">
        <v>2021</v>
      </c>
      <c r="QF28" s="1" t="s">
        <v>45</v>
      </c>
      <c r="QG28" s="1">
        <v>65593.108471522719</v>
      </c>
      <c r="QH28" s="1">
        <v>6710748.8614170318</v>
      </c>
      <c r="QI28" s="1">
        <v>9.7743351488901002E-3</v>
      </c>
      <c r="QJ28" s="1"/>
      <c r="QK28" s="22">
        <v>12071</v>
      </c>
      <c r="QL28" s="1" t="s">
        <v>31</v>
      </c>
      <c r="QM28" s="1">
        <v>2021</v>
      </c>
      <c r="QN28" s="1" t="s">
        <v>45</v>
      </c>
      <c r="QO28" s="1">
        <v>451374.58325846249</v>
      </c>
      <c r="QP28" s="1">
        <v>10216133.49495957</v>
      </c>
      <c r="QQ28" s="1">
        <v>4.41825259508562E-2</v>
      </c>
      <c r="QR28" s="1"/>
      <c r="QS28" s="22">
        <v>12991</v>
      </c>
      <c r="QT28" s="1" t="s">
        <v>51</v>
      </c>
      <c r="QU28" s="1">
        <v>2021</v>
      </c>
      <c r="QV28" s="1" t="s">
        <v>45</v>
      </c>
      <c r="QW28" s="1">
        <v>71054.415430305526</v>
      </c>
      <c r="QX28" s="1">
        <v>4972017.0252605537</v>
      </c>
      <c r="QY28" s="1">
        <v>1.42908632591784E-2</v>
      </c>
      <c r="QZ28" s="1"/>
      <c r="RA28" s="22">
        <v>13911</v>
      </c>
      <c r="RB28" s="1" t="s">
        <v>57</v>
      </c>
      <c r="RC28" s="1">
        <v>2021</v>
      </c>
      <c r="RD28" s="1" t="s">
        <v>45</v>
      </c>
      <c r="RE28" s="1">
        <v>414975.43376229441</v>
      </c>
      <c r="RF28" s="1">
        <v>11049533.09007922</v>
      </c>
      <c r="RG28" s="1">
        <v>3.7555924796033098E-2</v>
      </c>
      <c r="RH28" s="1"/>
      <c r="RI28" s="22">
        <v>8437</v>
      </c>
      <c r="RJ28" s="1" t="s">
        <v>17</v>
      </c>
      <c r="RK28" s="1">
        <v>2022</v>
      </c>
      <c r="RL28" s="1" t="s">
        <v>45</v>
      </c>
      <c r="RM28" s="1">
        <v>77008.453716297576</v>
      </c>
      <c r="RN28" s="1">
        <v>5007102.3902221443</v>
      </c>
      <c r="RO28" s="1">
        <v>1.5379844012512999E-2</v>
      </c>
      <c r="RP28" s="1"/>
      <c r="RQ28" s="22">
        <v>9357</v>
      </c>
      <c r="RR28" s="1" t="s">
        <v>61</v>
      </c>
      <c r="RS28" s="1">
        <v>2022</v>
      </c>
      <c r="RT28" s="1" t="s">
        <v>45</v>
      </c>
      <c r="RU28" s="1">
        <v>743356.39150701649</v>
      </c>
      <c r="RV28" s="1">
        <v>57754399.13688051</v>
      </c>
      <c r="RW28" s="1">
        <v>1.28709916926887E-2</v>
      </c>
      <c r="RX28" s="1"/>
      <c r="RY28" s="22">
        <v>10277</v>
      </c>
      <c r="RZ28" s="1" t="s">
        <v>44</v>
      </c>
      <c r="SA28" s="1">
        <v>2022</v>
      </c>
      <c r="SB28" s="1" t="s">
        <v>45</v>
      </c>
      <c r="SC28" s="1">
        <v>76747.7754818705</v>
      </c>
      <c r="SD28" s="1">
        <v>6876787.7563667288</v>
      </c>
      <c r="SE28" s="1">
        <v>1.11604106744192E-2</v>
      </c>
      <c r="SF28" s="1"/>
      <c r="SG28" s="22">
        <v>11197</v>
      </c>
      <c r="SH28" s="1" t="s">
        <v>38</v>
      </c>
      <c r="SI28" s="1">
        <v>2022</v>
      </c>
      <c r="SJ28" s="1" t="s">
        <v>45</v>
      </c>
      <c r="SK28" s="1">
        <v>61831.227845901973</v>
      </c>
      <c r="SL28" s="1">
        <v>6325875.5612572851</v>
      </c>
      <c r="SM28" s="1">
        <v>9.7743351488901002E-3</v>
      </c>
      <c r="SN28" s="1"/>
      <c r="SO28" s="22">
        <v>12117</v>
      </c>
      <c r="SP28" s="1" t="s">
        <v>31</v>
      </c>
      <c r="SQ28" s="1">
        <v>2022</v>
      </c>
      <c r="SR28" s="1" t="s">
        <v>45</v>
      </c>
      <c r="SS28" s="1">
        <v>432201.82941722841</v>
      </c>
      <c r="ST28" s="1">
        <v>9782189.227885304</v>
      </c>
      <c r="SU28" s="1">
        <v>4.41825259508562E-2</v>
      </c>
      <c r="SV28" s="1"/>
      <c r="SW28" s="22">
        <v>13037</v>
      </c>
      <c r="SX28" s="1" t="s">
        <v>51</v>
      </c>
      <c r="SY28" s="1">
        <v>2022</v>
      </c>
      <c r="SZ28" s="1" t="s">
        <v>45</v>
      </c>
      <c r="TA28" s="1">
        <v>68604.431823662206</v>
      </c>
      <c r="TB28" s="1">
        <v>4800579.963537232</v>
      </c>
      <c r="TC28" s="1">
        <v>1.42908632591784E-2</v>
      </c>
      <c r="TD28" s="1"/>
      <c r="TE28" s="22">
        <v>13957</v>
      </c>
      <c r="TF28" s="1" t="s">
        <v>57</v>
      </c>
      <c r="TG28" s="1">
        <v>2022</v>
      </c>
      <c r="TH28" s="1" t="s">
        <v>45</v>
      </c>
      <c r="TI28" s="1">
        <v>351014.79166018649</v>
      </c>
      <c r="TJ28" s="1">
        <v>9346455.8140041605</v>
      </c>
      <c r="TK28" s="1">
        <v>3.7555924796033098E-2</v>
      </c>
      <c r="TL28" s="1"/>
      <c r="TM28" s="22">
        <v>8483</v>
      </c>
      <c r="TN28" s="1" t="s">
        <v>17</v>
      </c>
      <c r="TO28" s="1">
        <v>2023</v>
      </c>
      <c r="TP28" s="1" t="s">
        <v>45</v>
      </c>
      <c r="TQ28" s="1">
        <v>76408.322094848991</v>
      </c>
      <c r="TR28" s="1">
        <v>4968081.7329930915</v>
      </c>
      <c r="TS28" s="1">
        <v>1.5379844012512999E-2</v>
      </c>
      <c r="TT28" s="1"/>
      <c r="TU28" s="22">
        <v>9403</v>
      </c>
      <c r="TV28" s="1" t="s">
        <v>61</v>
      </c>
      <c r="TW28" s="1">
        <v>2023</v>
      </c>
      <c r="TX28" s="1" t="s">
        <v>45</v>
      </c>
      <c r="TY28" s="1">
        <v>792342.01392894005</v>
      </c>
      <c r="TZ28" s="1">
        <v>61560292.543660469</v>
      </c>
      <c r="UA28" s="1">
        <v>1.28709916926887E-2</v>
      </c>
      <c r="UB28" s="1"/>
      <c r="UC28" s="22">
        <v>10323</v>
      </c>
      <c r="UD28" s="1" t="s">
        <v>44</v>
      </c>
      <c r="UE28" s="1">
        <v>2023</v>
      </c>
      <c r="UF28" s="1" t="s">
        <v>45</v>
      </c>
      <c r="UG28" s="1">
        <v>83052.645015907357</v>
      </c>
      <c r="UH28" s="1">
        <v>7441719.4347760417</v>
      </c>
      <c r="UI28" s="1">
        <v>1.11604106744192E-2</v>
      </c>
      <c r="UJ28" s="1"/>
      <c r="UK28" s="22">
        <v>11243</v>
      </c>
      <c r="UL28" s="1" t="s">
        <v>38</v>
      </c>
      <c r="UM28" s="1">
        <v>2023</v>
      </c>
      <c r="UN28" s="1" t="s">
        <v>45</v>
      </c>
      <c r="UO28" s="1">
        <v>67481.456237513499</v>
      </c>
      <c r="UP28" s="1">
        <v>6903943.3587640161</v>
      </c>
      <c r="UQ28" s="1">
        <v>9.7743351488901002E-3</v>
      </c>
      <c r="UR28" s="1"/>
      <c r="US28" s="22">
        <v>12163</v>
      </c>
      <c r="UT28" s="1" t="s">
        <v>31</v>
      </c>
      <c r="UU28" s="1">
        <v>2023</v>
      </c>
      <c r="UV28" s="1" t="s">
        <v>45</v>
      </c>
      <c r="UW28" s="1">
        <v>469789.56177191628</v>
      </c>
      <c r="UX28" s="1">
        <v>10632926.743356841</v>
      </c>
      <c r="UY28" s="1">
        <v>4.41825259508562E-2</v>
      </c>
      <c r="UZ28" s="1"/>
      <c r="VA28" s="22">
        <v>13083</v>
      </c>
      <c r="VB28" s="1" t="s">
        <v>51</v>
      </c>
      <c r="VC28" s="1">
        <v>2023</v>
      </c>
      <c r="VD28" s="1" t="s">
        <v>45</v>
      </c>
      <c r="VE28" s="1">
        <v>75143.155705432888</v>
      </c>
      <c r="VF28" s="1">
        <v>5258125.7228930313</v>
      </c>
      <c r="VG28" s="1">
        <v>1.42908632591784E-2</v>
      </c>
      <c r="VH28" s="1"/>
      <c r="VI28" s="22">
        <v>14003</v>
      </c>
      <c r="VJ28" s="1" t="s">
        <v>57</v>
      </c>
      <c r="VK28" s="1">
        <v>2023</v>
      </c>
      <c r="VL28" s="1" t="s">
        <v>45</v>
      </c>
      <c r="VM28" s="1">
        <v>346955.74616042088</v>
      </c>
      <c r="VN28" s="1">
        <v>9238375.7834414635</v>
      </c>
      <c r="VO28" s="1">
        <v>3.7555924796033098E-2</v>
      </c>
      <c r="VP28" s="1"/>
      <c r="VQ28" s="22">
        <v>8529</v>
      </c>
      <c r="VR28" s="1" t="s">
        <v>17</v>
      </c>
      <c r="VS28" s="1">
        <v>2024</v>
      </c>
      <c r="VT28" s="1" t="s">
        <v>45</v>
      </c>
      <c r="VU28" s="1">
        <v>78795.840455280952</v>
      </c>
      <c r="VV28" s="1">
        <v>5123318.5714479852</v>
      </c>
      <c r="VW28" s="1">
        <v>1.5379844012512999E-2</v>
      </c>
      <c r="VX28" s="1"/>
      <c r="VY28" s="22">
        <v>9449</v>
      </c>
      <c r="VZ28" s="1" t="s">
        <v>61</v>
      </c>
      <c r="WA28" s="1">
        <v>2024</v>
      </c>
      <c r="WB28" s="1" t="s">
        <v>45</v>
      </c>
      <c r="WC28" s="1">
        <v>834193.30833329319</v>
      </c>
      <c r="WD28" s="1">
        <v>64811890.820126347</v>
      </c>
      <c r="WE28" s="1">
        <v>1.28709916926887E-2</v>
      </c>
      <c r="WF28" s="1"/>
      <c r="WG28" s="22">
        <v>10369</v>
      </c>
      <c r="WH28" s="1" t="s">
        <v>44</v>
      </c>
      <c r="WI28" s="1">
        <v>2024</v>
      </c>
      <c r="WJ28" s="1" t="s">
        <v>45</v>
      </c>
      <c r="WK28" s="1">
        <v>89804.834470367816</v>
      </c>
      <c r="WL28" s="1">
        <v>8046732.0684004631</v>
      </c>
      <c r="WM28" s="1">
        <v>1.11604106744192E-2</v>
      </c>
      <c r="WN28" s="1"/>
      <c r="WO28" s="22">
        <v>11289</v>
      </c>
      <c r="WP28" s="1" t="s">
        <v>38</v>
      </c>
      <c r="WQ28" s="1">
        <v>2024</v>
      </c>
      <c r="WR28" s="1" t="s">
        <v>45</v>
      </c>
      <c r="WS28" s="1">
        <v>69919.28224688684</v>
      </c>
      <c r="WT28" s="1">
        <v>7153354.2877160665</v>
      </c>
      <c r="WU28" s="1">
        <v>9.7743351488901002E-3</v>
      </c>
      <c r="WV28" s="1"/>
      <c r="WW28" s="22">
        <v>12209</v>
      </c>
      <c r="WX28" s="1" t="s">
        <v>31</v>
      </c>
      <c r="WY28" s="1">
        <v>2024</v>
      </c>
      <c r="WZ28" s="1" t="s">
        <v>45</v>
      </c>
      <c r="XA28" s="1">
        <v>483723.28536752448</v>
      </c>
      <c r="XB28" s="1">
        <v>10948294.03609846</v>
      </c>
      <c r="XC28" s="1">
        <v>4.41825259508562E-2</v>
      </c>
      <c r="XD28" s="1"/>
      <c r="XE28" s="22">
        <v>13129</v>
      </c>
      <c r="XF28" s="1" t="s">
        <v>51</v>
      </c>
      <c r="XG28" s="1">
        <v>2024</v>
      </c>
      <c r="XH28" s="1" t="s">
        <v>45</v>
      </c>
      <c r="XI28" s="1">
        <v>77365.552333444706</v>
      </c>
      <c r="XJ28" s="1">
        <v>5413637.436055948</v>
      </c>
      <c r="XK28" s="1">
        <v>1.42908632591784E-2</v>
      </c>
      <c r="XL28" s="1"/>
      <c r="XM28" s="22">
        <v>14049</v>
      </c>
      <c r="XN28" s="1" t="s">
        <v>57</v>
      </c>
      <c r="XO28" s="1">
        <v>2024</v>
      </c>
      <c r="XP28" s="1" t="s">
        <v>45</v>
      </c>
      <c r="XQ28" s="1">
        <v>331559.53705844982</v>
      </c>
      <c r="XR28" s="1">
        <v>8828421.583522588</v>
      </c>
      <c r="XS28" s="1">
        <v>3.7555924796033098E-2</v>
      </c>
      <c r="XT28" s="1"/>
    </row>
    <row r="29" spans="1:644" x14ac:dyDescent="0.25">
      <c r="A29" s="2">
        <v>20</v>
      </c>
      <c r="B29" s="1" t="s">
        <v>17</v>
      </c>
      <c r="C29" s="1" t="s">
        <v>46</v>
      </c>
      <c r="D29" s="1">
        <v>6.7480540899066081E-3</v>
      </c>
      <c r="E29" s="1">
        <v>7.5832307633541107E-3</v>
      </c>
      <c r="F29" s="1">
        <v>7.3708634301426308E-3</v>
      </c>
      <c r="G29" s="1">
        <v>7.1469597771131842E-3</v>
      </c>
      <c r="H29" s="1">
        <v>7.1334580240888356E-3</v>
      </c>
      <c r="I29" s="1">
        <v>7.8153821882786974E-3</v>
      </c>
      <c r="J29" s="1">
        <v>6.4691684050234947E-3</v>
      </c>
      <c r="K29" s="1">
        <v>6.4691684050234132E-3</v>
      </c>
      <c r="L29" s="1">
        <v>6.4691684050234141E-3</v>
      </c>
      <c r="M29" s="1">
        <v>6.4691684050234132E-3</v>
      </c>
      <c r="N29" s="1">
        <v>6.4691684050234141E-3</v>
      </c>
      <c r="O29" s="1">
        <v>6.9221627543637476E-3</v>
      </c>
      <c r="P29" s="1"/>
      <c r="Q29" s="2">
        <v>171</v>
      </c>
      <c r="R29" s="1" t="s">
        <v>44</v>
      </c>
      <c r="S29" s="1" t="s">
        <v>23</v>
      </c>
      <c r="T29" s="1">
        <v>1.399893360051687E-2</v>
      </c>
      <c r="U29" s="1"/>
      <c r="AC29" s="22">
        <v>894</v>
      </c>
      <c r="AD29" s="1" t="s">
        <v>17</v>
      </c>
      <c r="AE29" s="1">
        <v>2014</v>
      </c>
      <c r="AF29" s="1" t="s">
        <v>46</v>
      </c>
      <c r="AG29" s="1">
        <v>27587.5</v>
      </c>
      <c r="AH29" s="1">
        <v>4088215.6</v>
      </c>
      <c r="AI29" s="1">
        <v>6.7480540899066003E-3</v>
      </c>
      <c r="AJ29" s="1"/>
      <c r="AK29" s="22">
        <v>2090</v>
      </c>
      <c r="AL29" s="1" t="s">
        <v>61</v>
      </c>
      <c r="AM29" s="1">
        <v>2014</v>
      </c>
      <c r="AN29" s="1" t="s">
        <v>46</v>
      </c>
      <c r="AO29" s="1">
        <v>324855.09999999998</v>
      </c>
      <c r="AP29" s="1">
        <v>40350049.200000003</v>
      </c>
      <c r="AQ29" s="1">
        <v>8.0509220296067999E-3</v>
      </c>
      <c r="AR29" s="1"/>
      <c r="AS29" s="22">
        <v>3286</v>
      </c>
      <c r="AT29" s="1" t="s">
        <v>44</v>
      </c>
      <c r="AU29" s="1">
        <v>2014</v>
      </c>
      <c r="AV29" s="1" t="s">
        <v>46</v>
      </c>
      <c r="AW29" s="1">
        <v>47707</v>
      </c>
      <c r="AX29" s="1">
        <v>6735816.8000000007</v>
      </c>
      <c r="AY29" s="1">
        <v>7.0825857377831E-3</v>
      </c>
      <c r="AZ29" s="1"/>
      <c r="BA29" s="22">
        <v>4482</v>
      </c>
      <c r="BB29" s="1" t="s">
        <v>38</v>
      </c>
      <c r="BC29" s="1">
        <v>2014</v>
      </c>
      <c r="BD29" s="1" t="s">
        <v>46</v>
      </c>
      <c r="BE29" s="1">
        <v>81146.3</v>
      </c>
      <c r="BF29" s="1">
        <v>6538596.7000000002</v>
      </c>
      <c r="BG29" s="1">
        <v>1.24103540443165E-2</v>
      </c>
      <c r="BH29" s="1"/>
      <c r="BI29" s="22">
        <v>5678</v>
      </c>
      <c r="BJ29" s="1" t="s">
        <v>31</v>
      </c>
      <c r="BK29" s="1">
        <v>2014</v>
      </c>
      <c r="BL29" s="1" t="s">
        <v>46</v>
      </c>
      <c r="BM29" s="1">
        <v>54719.6</v>
      </c>
      <c r="BN29" s="1">
        <v>9155477.5</v>
      </c>
      <c r="BO29" s="1">
        <v>5.9767062941282001E-3</v>
      </c>
      <c r="BP29" s="1"/>
      <c r="BQ29" s="22">
        <v>6874</v>
      </c>
      <c r="BR29" s="1" t="s">
        <v>51</v>
      </c>
      <c r="BS29" s="1">
        <v>2014</v>
      </c>
      <c r="BT29" s="1" t="s">
        <v>46</v>
      </c>
      <c r="BU29" s="1">
        <v>32127.200000000001</v>
      </c>
      <c r="BV29" s="1">
        <v>4981875.5</v>
      </c>
      <c r="BW29" s="1">
        <v>6.4488163142574998E-3</v>
      </c>
      <c r="BX29" s="1"/>
      <c r="BY29" s="22">
        <v>8070</v>
      </c>
      <c r="BZ29" s="1" t="s">
        <v>57</v>
      </c>
      <c r="CA29" s="1">
        <v>2014</v>
      </c>
      <c r="CB29" s="1" t="s">
        <v>46</v>
      </c>
      <c r="CC29" s="1">
        <v>60150.1</v>
      </c>
      <c r="CD29" s="1">
        <v>11026913.800000001</v>
      </c>
      <c r="CE29" s="1">
        <v>5.4548444914839997E-3</v>
      </c>
      <c r="CF29" s="1"/>
      <c r="CG29" s="22">
        <v>940</v>
      </c>
      <c r="CH29" s="1" t="s">
        <v>17</v>
      </c>
      <c r="CI29" s="1">
        <v>2015</v>
      </c>
      <c r="CJ29" s="1" t="s">
        <v>46</v>
      </c>
      <c r="CK29" s="1">
        <v>26959.4</v>
      </c>
      <c r="CL29" s="1">
        <v>3555133.8</v>
      </c>
      <c r="CM29" s="1">
        <v>7.5832307633541002E-3</v>
      </c>
      <c r="CN29" s="1"/>
      <c r="CO29" s="22">
        <v>2136</v>
      </c>
      <c r="CP29" s="1" t="s">
        <v>61</v>
      </c>
      <c r="CQ29" s="1">
        <v>2015</v>
      </c>
      <c r="CR29" s="1" t="s">
        <v>46</v>
      </c>
      <c r="CS29" s="1">
        <v>331648.59999999998</v>
      </c>
      <c r="CT29" s="1">
        <v>41208556.399999999</v>
      </c>
      <c r="CU29" s="1">
        <v>8.0480518846809002E-3</v>
      </c>
      <c r="CV29" s="1"/>
      <c r="CW29" s="22">
        <v>3332</v>
      </c>
      <c r="CX29" s="1" t="s">
        <v>44</v>
      </c>
      <c r="CY29" s="1">
        <v>2015</v>
      </c>
      <c r="CZ29" s="1" t="s">
        <v>46</v>
      </c>
      <c r="DA29" s="1">
        <v>47729.5</v>
      </c>
      <c r="DB29" s="1">
        <v>6404349.4000000004</v>
      </c>
      <c r="DC29" s="1">
        <v>7.4526695873276001E-3</v>
      </c>
      <c r="DD29" s="1"/>
      <c r="DE29" s="22">
        <v>4528</v>
      </c>
      <c r="DF29" s="1" t="s">
        <v>38</v>
      </c>
      <c r="DG29" s="1">
        <v>2015</v>
      </c>
      <c r="DH29" s="1" t="s">
        <v>46</v>
      </c>
      <c r="DI29" s="1">
        <v>76647</v>
      </c>
      <c r="DJ29" s="1">
        <v>5531517.5999999996</v>
      </c>
      <c r="DK29" s="1">
        <v>1.38564143771322E-2</v>
      </c>
      <c r="DL29" s="1"/>
      <c r="DM29" s="22">
        <v>5724</v>
      </c>
      <c r="DN29" s="1" t="s">
        <v>31</v>
      </c>
      <c r="DO29" s="1">
        <v>2015</v>
      </c>
      <c r="DP29" s="1" t="s">
        <v>46</v>
      </c>
      <c r="DQ29" s="1">
        <v>48360</v>
      </c>
      <c r="DR29" s="1">
        <v>7894528</v>
      </c>
      <c r="DS29" s="1">
        <v>6.1257620468252996E-3</v>
      </c>
      <c r="DT29" s="1"/>
      <c r="DU29" s="22">
        <v>6920</v>
      </c>
      <c r="DV29" s="1" t="s">
        <v>51</v>
      </c>
      <c r="DW29" s="1">
        <v>2015</v>
      </c>
      <c r="DX29" s="1" t="s">
        <v>46</v>
      </c>
      <c r="DY29" s="1">
        <v>28105.200000000001</v>
      </c>
      <c r="DZ29" s="1">
        <v>4209274.5999999996</v>
      </c>
      <c r="EA29" s="1">
        <v>6.6769699463180001E-3</v>
      </c>
      <c r="EB29" s="1"/>
      <c r="EC29" s="22">
        <v>8116</v>
      </c>
      <c r="ED29" s="1" t="s">
        <v>57</v>
      </c>
      <c r="EE29" s="1">
        <v>2015</v>
      </c>
      <c r="EF29" s="1" t="s">
        <v>46</v>
      </c>
      <c r="EG29" s="1">
        <v>58183.5</v>
      </c>
      <c r="EH29" s="1">
        <v>9729477.0999999996</v>
      </c>
      <c r="EI29" s="1">
        <v>5.9801261056464999E-3</v>
      </c>
      <c r="EJ29" s="1"/>
      <c r="EK29" s="22">
        <v>986</v>
      </c>
      <c r="EL29" s="1" t="s">
        <v>17</v>
      </c>
      <c r="EM29" s="1">
        <v>2016</v>
      </c>
      <c r="EN29" s="1" t="s">
        <v>46</v>
      </c>
      <c r="EO29" s="1">
        <v>25528.3</v>
      </c>
      <c r="EP29" s="1">
        <v>3463407</v>
      </c>
      <c r="EQ29" s="1">
        <v>7.3708634301426004E-3</v>
      </c>
      <c r="ER29" s="1"/>
      <c r="ES29" s="22">
        <v>2182</v>
      </c>
      <c r="ET29" s="1" t="s">
        <v>61</v>
      </c>
      <c r="EU29" s="1">
        <v>2016</v>
      </c>
      <c r="EV29" s="1" t="s">
        <v>46</v>
      </c>
      <c r="EW29" s="1">
        <v>309096.5</v>
      </c>
      <c r="EX29" s="1">
        <v>42141395.200000003</v>
      </c>
      <c r="EY29" s="1">
        <v>7.3347476639786004E-3</v>
      </c>
      <c r="EZ29" s="1"/>
      <c r="FA29" s="22">
        <v>3378</v>
      </c>
      <c r="FB29" s="1" t="s">
        <v>44</v>
      </c>
      <c r="FC29" s="1">
        <v>2016</v>
      </c>
      <c r="FD29" s="1" t="s">
        <v>46</v>
      </c>
      <c r="FE29" s="1">
        <v>44647.8</v>
      </c>
      <c r="FF29" s="1">
        <v>5868597.7999999998</v>
      </c>
      <c r="FG29" s="1">
        <v>7.6079161533271003E-3</v>
      </c>
      <c r="FH29" s="1"/>
      <c r="FI29" s="22">
        <v>4574</v>
      </c>
      <c r="FJ29" s="1" t="s">
        <v>38</v>
      </c>
      <c r="FK29" s="1">
        <v>2016</v>
      </c>
      <c r="FL29" s="1" t="s">
        <v>46</v>
      </c>
      <c r="FM29" s="1">
        <v>78568.5</v>
      </c>
      <c r="FN29" s="1">
        <v>5582986.5</v>
      </c>
      <c r="FO29" s="1">
        <v>1.40728443459428E-2</v>
      </c>
      <c r="FP29" s="1"/>
      <c r="FQ29" s="22">
        <v>5770</v>
      </c>
      <c r="FR29" s="1" t="s">
        <v>31</v>
      </c>
      <c r="FS29" s="1">
        <v>2016</v>
      </c>
      <c r="FT29" s="1" t="s">
        <v>46</v>
      </c>
      <c r="FU29" s="1">
        <v>50722.400000000001</v>
      </c>
      <c r="FV29" s="1">
        <v>8130820.9000000004</v>
      </c>
      <c r="FW29" s="1">
        <v>6.2382876986011998E-3</v>
      </c>
      <c r="FX29" s="1"/>
      <c r="FY29" s="22">
        <v>6966</v>
      </c>
      <c r="FZ29" s="1" t="s">
        <v>51</v>
      </c>
      <c r="GA29" s="1">
        <v>2016</v>
      </c>
      <c r="GB29" s="1" t="s">
        <v>46</v>
      </c>
      <c r="GC29" s="1">
        <v>27276.2</v>
      </c>
      <c r="GD29" s="1">
        <v>4230502.5999999996</v>
      </c>
      <c r="GE29" s="1">
        <v>6.4475081518681997E-3</v>
      </c>
      <c r="GF29" s="1"/>
      <c r="GG29" s="22">
        <v>8162</v>
      </c>
      <c r="GH29" s="1" t="s">
        <v>57</v>
      </c>
      <c r="GI29" s="1">
        <v>2016</v>
      </c>
      <c r="GJ29" s="1" t="s">
        <v>46</v>
      </c>
      <c r="GK29" s="1">
        <v>59134.1</v>
      </c>
      <c r="GL29" s="1">
        <v>10773649.5</v>
      </c>
      <c r="GM29" s="1">
        <v>5.4887714696861996E-3</v>
      </c>
      <c r="GN29" s="1"/>
      <c r="GO29" s="22">
        <v>1032</v>
      </c>
      <c r="GP29" s="1" t="s">
        <v>17</v>
      </c>
      <c r="GQ29" s="1">
        <v>2017</v>
      </c>
      <c r="GR29" s="1" t="s">
        <v>46</v>
      </c>
      <c r="GS29" s="1">
        <v>26584.799999999999</v>
      </c>
      <c r="GT29" s="1">
        <v>3719735.5</v>
      </c>
      <c r="GU29" s="1">
        <v>7.1469597771131E-3</v>
      </c>
      <c r="GV29" s="1"/>
      <c r="GW29" s="22">
        <v>2228</v>
      </c>
      <c r="GX29" s="1" t="s">
        <v>61</v>
      </c>
      <c r="GY29" s="1">
        <v>2017</v>
      </c>
      <c r="GZ29" s="1" t="s">
        <v>46</v>
      </c>
      <c r="HA29" s="1">
        <v>338431.2</v>
      </c>
      <c r="HB29" s="1">
        <v>44107004.100000001</v>
      </c>
      <c r="HC29" s="1">
        <v>7.6729582275118996E-3</v>
      </c>
      <c r="HD29" s="1"/>
      <c r="HE29" s="22">
        <v>3424</v>
      </c>
      <c r="HF29" s="1" t="s">
        <v>44</v>
      </c>
      <c r="HG29" s="1">
        <v>2017</v>
      </c>
      <c r="HH29" s="1" t="s">
        <v>46</v>
      </c>
      <c r="HI29" s="1">
        <v>45018</v>
      </c>
      <c r="HJ29" s="1">
        <v>5855367.5</v>
      </c>
      <c r="HK29" s="1">
        <v>7.6883304079546997E-3</v>
      </c>
      <c r="HL29" s="1"/>
      <c r="HM29" s="22">
        <v>4620</v>
      </c>
      <c r="HN29" s="1" t="s">
        <v>38</v>
      </c>
      <c r="HO29" s="1">
        <v>2017</v>
      </c>
      <c r="HP29" s="1" t="s">
        <v>46</v>
      </c>
      <c r="HQ29" s="1">
        <v>84681.3</v>
      </c>
      <c r="HR29" s="1">
        <v>5923445.7000000002</v>
      </c>
      <c r="HS29" s="1">
        <v>1.429595277627E-2</v>
      </c>
      <c r="HT29" s="1"/>
      <c r="HU29" s="22">
        <v>5816</v>
      </c>
      <c r="HV29" s="1" t="s">
        <v>31</v>
      </c>
      <c r="HW29" s="1">
        <v>2017</v>
      </c>
      <c r="HX29" s="1" t="s">
        <v>46</v>
      </c>
      <c r="HY29" s="1">
        <v>60824.5</v>
      </c>
      <c r="HZ29" s="1">
        <v>8686095.3000000007</v>
      </c>
      <c r="IA29" s="1">
        <v>7.0025135459888003E-3</v>
      </c>
      <c r="IB29" s="1"/>
      <c r="IC29" s="22">
        <v>7012</v>
      </c>
      <c r="ID29" s="1" t="s">
        <v>51</v>
      </c>
      <c r="IE29" s="1">
        <v>2017</v>
      </c>
      <c r="IF29" s="1" t="s">
        <v>46</v>
      </c>
      <c r="IG29" s="1">
        <v>30976.400000000001</v>
      </c>
      <c r="IH29" s="1">
        <v>4472691.8</v>
      </c>
      <c r="II29" s="1">
        <v>6.9256728129578997E-3</v>
      </c>
      <c r="IJ29" s="1"/>
      <c r="IK29" s="22">
        <v>8208</v>
      </c>
      <c r="IL29" s="1" t="s">
        <v>57</v>
      </c>
      <c r="IM29" s="1">
        <v>2017</v>
      </c>
      <c r="IN29" s="1" t="s">
        <v>46</v>
      </c>
      <c r="IO29" s="1">
        <v>60325.5</v>
      </c>
      <c r="IP29" s="1">
        <v>10750260.5</v>
      </c>
      <c r="IQ29" s="1">
        <v>5.6115384366732003E-3</v>
      </c>
      <c r="IR29" s="1"/>
      <c r="IS29" s="22">
        <v>1078</v>
      </c>
      <c r="IT29" s="1" t="s">
        <v>17</v>
      </c>
      <c r="IU29" s="1">
        <v>2018</v>
      </c>
      <c r="IV29" s="1" t="s">
        <v>46</v>
      </c>
      <c r="IW29" s="1">
        <v>27850.2</v>
      </c>
      <c r="IX29" s="1">
        <v>3904165.4</v>
      </c>
      <c r="IY29" s="1">
        <v>7.1334580240888E-3</v>
      </c>
      <c r="IZ29" s="1"/>
      <c r="JA29" s="22">
        <v>2274</v>
      </c>
      <c r="JB29" s="1" t="s">
        <v>61</v>
      </c>
      <c r="JC29" s="1">
        <v>2018</v>
      </c>
      <c r="JD29" s="1" t="s">
        <v>46</v>
      </c>
      <c r="JE29" s="1">
        <v>341150.2</v>
      </c>
      <c r="JF29" s="1">
        <v>46669099.200000003</v>
      </c>
      <c r="JG29" s="1">
        <v>7.3099803906221004E-3</v>
      </c>
      <c r="JH29" s="1"/>
      <c r="JI29" s="22">
        <v>3470</v>
      </c>
      <c r="JJ29" s="1" t="s">
        <v>44</v>
      </c>
      <c r="JK29" s="1">
        <v>2018</v>
      </c>
      <c r="JL29" s="1" t="s">
        <v>46</v>
      </c>
      <c r="JM29" s="1">
        <v>46618.400000000001</v>
      </c>
      <c r="JN29" s="1">
        <v>6336724.7000000002</v>
      </c>
      <c r="JO29" s="1">
        <v>7.3568605560534999E-3</v>
      </c>
      <c r="JP29" s="1"/>
      <c r="JQ29" s="22">
        <v>4666</v>
      </c>
      <c r="JR29" s="1" t="s">
        <v>38</v>
      </c>
      <c r="JS29" s="1">
        <v>2018</v>
      </c>
      <c r="JT29" s="1" t="s">
        <v>46</v>
      </c>
      <c r="JU29" s="1">
        <v>88742.5</v>
      </c>
      <c r="JV29" s="1">
        <v>6390706</v>
      </c>
      <c r="JW29" s="1">
        <v>1.38861809634178E-2</v>
      </c>
      <c r="JX29" s="1"/>
      <c r="JY29" s="22">
        <v>5862</v>
      </c>
      <c r="JZ29" s="1" t="s">
        <v>31</v>
      </c>
      <c r="KA29" s="1">
        <v>2018</v>
      </c>
      <c r="KB29" s="1" t="s">
        <v>46</v>
      </c>
      <c r="KC29" s="1">
        <v>61389.5</v>
      </c>
      <c r="KD29" s="1">
        <v>9443218.3000000007</v>
      </c>
      <c r="KE29" s="1">
        <v>6.5009086997385003E-3</v>
      </c>
      <c r="KF29" s="1"/>
      <c r="KG29" s="22">
        <v>7058</v>
      </c>
      <c r="KH29" s="1" t="s">
        <v>51</v>
      </c>
      <c r="KI29" s="1">
        <v>2018</v>
      </c>
      <c r="KJ29" s="1" t="s">
        <v>46</v>
      </c>
      <c r="KK29" s="1">
        <v>33653.699999999997</v>
      </c>
      <c r="KL29" s="1">
        <v>4803387.8</v>
      </c>
      <c r="KM29" s="1">
        <v>7.0062425523918E-3</v>
      </c>
      <c r="KN29" s="1"/>
      <c r="KO29" s="22">
        <v>8254</v>
      </c>
      <c r="KP29" s="1" t="s">
        <v>57</v>
      </c>
      <c r="KQ29" s="1">
        <v>2018</v>
      </c>
      <c r="KR29" s="1" t="s">
        <v>46</v>
      </c>
      <c r="KS29" s="1">
        <v>61848.2</v>
      </c>
      <c r="KT29" s="1">
        <v>11172914.4</v>
      </c>
      <c r="KU29" s="1">
        <v>5.5355476454736997E-3</v>
      </c>
      <c r="KV29" s="1"/>
      <c r="KW29" s="22">
        <v>1124</v>
      </c>
      <c r="KX29" s="1" t="s">
        <v>17</v>
      </c>
      <c r="KY29" s="1">
        <v>2019</v>
      </c>
      <c r="KZ29" s="1" t="s">
        <v>46</v>
      </c>
      <c r="LA29" s="1">
        <v>30912.400000000001</v>
      </c>
      <c r="LB29" s="1">
        <v>3955328</v>
      </c>
      <c r="LC29" s="1">
        <v>7.8153821882786002E-3</v>
      </c>
      <c r="LD29" s="1"/>
      <c r="LE29" s="22">
        <v>2320</v>
      </c>
      <c r="LF29" s="1" t="s">
        <v>61</v>
      </c>
      <c r="LG29" s="1">
        <v>2019</v>
      </c>
      <c r="LH29" s="1" t="s">
        <v>46</v>
      </c>
      <c r="LI29" s="1">
        <v>338389.3</v>
      </c>
      <c r="LJ29" s="1">
        <v>48356774.5</v>
      </c>
      <c r="LK29" s="1">
        <v>6.9977640878424998E-3</v>
      </c>
      <c r="LL29" s="1"/>
      <c r="LM29" s="22">
        <v>3516</v>
      </c>
      <c r="LN29" s="1" t="s">
        <v>44</v>
      </c>
      <c r="LO29" s="1">
        <v>2019</v>
      </c>
      <c r="LP29" s="1" t="s">
        <v>46</v>
      </c>
      <c r="LQ29" s="1">
        <v>43401.8</v>
      </c>
      <c r="LR29" s="1">
        <v>6269787.0999999996</v>
      </c>
      <c r="LS29" s="1">
        <v>6.9223722126067E-3</v>
      </c>
      <c r="LT29" s="1"/>
      <c r="LU29" s="22">
        <v>4712</v>
      </c>
      <c r="LV29" s="1" t="s">
        <v>38</v>
      </c>
      <c r="LW29" s="1">
        <v>2019</v>
      </c>
      <c r="LX29" s="1" t="s">
        <v>46</v>
      </c>
      <c r="LY29" s="1">
        <v>92163.5</v>
      </c>
      <c r="LZ29" s="1">
        <v>6182094.5</v>
      </c>
      <c r="MA29" s="1">
        <v>1.4908135098873E-2</v>
      </c>
      <c r="MB29" s="1"/>
      <c r="MC29" s="22">
        <v>5908</v>
      </c>
      <c r="MD29" s="1" t="s">
        <v>31</v>
      </c>
      <c r="ME29" s="1">
        <v>2019</v>
      </c>
      <c r="MF29" s="1" t="s">
        <v>46</v>
      </c>
      <c r="MG29" s="1">
        <v>63485.4</v>
      </c>
      <c r="MH29" s="1">
        <v>9237079</v>
      </c>
      <c r="MI29" s="1">
        <v>6.8728869808301002E-3</v>
      </c>
      <c r="MJ29" s="1"/>
      <c r="MK29" s="22">
        <v>7104</v>
      </c>
      <c r="ML29" s="1" t="s">
        <v>51</v>
      </c>
      <c r="MM29" s="1">
        <v>2019</v>
      </c>
      <c r="MN29" s="1" t="s">
        <v>46</v>
      </c>
      <c r="MO29" s="1">
        <v>34082.5</v>
      </c>
      <c r="MP29" s="1">
        <v>4608662</v>
      </c>
      <c r="MQ29" s="1">
        <v>7.3953134337037003E-3</v>
      </c>
      <c r="MR29" s="1"/>
      <c r="MS29" s="22">
        <v>8300</v>
      </c>
      <c r="MT29" s="1" t="s">
        <v>57</v>
      </c>
      <c r="MU29" s="1">
        <v>2019</v>
      </c>
      <c r="MV29" s="1" t="s">
        <v>46</v>
      </c>
      <c r="MW29" s="1">
        <v>62284</v>
      </c>
      <c r="MX29" s="1">
        <v>11338077</v>
      </c>
      <c r="MY29" s="1">
        <v>5.4933477696438001E-3</v>
      </c>
      <c r="MZ29" s="1"/>
      <c r="NA29" s="22">
        <v>1170</v>
      </c>
      <c r="NB29" s="1" t="s">
        <v>17</v>
      </c>
      <c r="NC29" s="1">
        <v>2020</v>
      </c>
      <c r="ND29" s="1" t="s">
        <v>46</v>
      </c>
      <c r="NE29" s="1">
        <v>24484.2</v>
      </c>
      <c r="NF29" s="1">
        <v>3784752.3</v>
      </c>
      <c r="NG29" s="1">
        <v>6.4691684050234002E-3</v>
      </c>
      <c r="NH29" s="1"/>
      <c r="NI29" s="22">
        <v>2366</v>
      </c>
      <c r="NJ29" s="1" t="s">
        <v>61</v>
      </c>
      <c r="NK29" s="1">
        <v>2020</v>
      </c>
      <c r="NL29" s="1" t="s">
        <v>46</v>
      </c>
      <c r="NM29" s="1">
        <v>267013.40000000002</v>
      </c>
      <c r="NN29" s="1">
        <v>47421769.399999999</v>
      </c>
      <c r="NO29" s="1">
        <v>5.6306081231966001E-3</v>
      </c>
      <c r="NP29" s="1"/>
      <c r="NQ29" s="22">
        <v>3562</v>
      </c>
      <c r="NR29" s="1" t="s">
        <v>44</v>
      </c>
      <c r="NS29" s="1">
        <v>2020</v>
      </c>
      <c r="NT29" s="1" t="s">
        <v>46</v>
      </c>
      <c r="NU29" s="1">
        <v>38232</v>
      </c>
      <c r="NV29" s="1">
        <v>5955345.3666666672</v>
      </c>
      <c r="NW29" s="1">
        <v>6.4197788114846001E-3</v>
      </c>
      <c r="NX29" s="1"/>
      <c r="NY29" s="22">
        <v>4758</v>
      </c>
      <c r="NZ29" s="1" t="s">
        <v>38</v>
      </c>
      <c r="OA29" s="1">
        <v>2020</v>
      </c>
      <c r="OB29" s="1" t="s">
        <v>46</v>
      </c>
      <c r="OC29" s="1">
        <v>68145.899999999994</v>
      </c>
      <c r="OD29" s="1">
        <v>5990228.4000000004</v>
      </c>
      <c r="OE29" s="1">
        <v>1.13761772422567E-2</v>
      </c>
      <c r="OF29" s="1"/>
      <c r="OG29" s="22">
        <v>5954</v>
      </c>
      <c r="OH29" s="1" t="s">
        <v>31</v>
      </c>
      <c r="OI29" s="1">
        <v>2020</v>
      </c>
      <c r="OJ29" s="1" t="s">
        <v>46</v>
      </c>
      <c r="OK29" s="1">
        <v>55113.8</v>
      </c>
      <c r="OL29" s="1">
        <v>9257180.0999999996</v>
      </c>
      <c r="OM29" s="1">
        <v>5.9536272822433003E-3</v>
      </c>
      <c r="ON29" s="1"/>
      <c r="OO29" s="22">
        <v>7150</v>
      </c>
      <c r="OP29" s="1" t="s">
        <v>51</v>
      </c>
      <c r="OQ29" s="1">
        <v>2020</v>
      </c>
      <c r="OR29" s="1" t="s">
        <v>46</v>
      </c>
      <c r="OS29" s="1">
        <v>33102.199999999997</v>
      </c>
      <c r="OT29" s="1">
        <v>4352046.4000000004</v>
      </c>
      <c r="OU29" s="1">
        <v>7.6061229494244001E-3</v>
      </c>
      <c r="OV29" s="1"/>
      <c r="OW29" s="22">
        <v>8346</v>
      </c>
      <c r="OX29" s="1" t="s">
        <v>57</v>
      </c>
      <c r="OY29" s="1">
        <v>2020</v>
      </c>
      <c r="OZ29" s="1" t="s">
        <v>46</v>
      </c>
      <c r="PA29" s="1">
        <v>56022.2</v>
      </c>
      <c r="PB29" s="1">
        <v>11082248.733333331</v>
      </c>
      <c r="PC29" s="1">
        <v>5.0551292745754E-3</v>
      </c>
      <c r="PD29" s="1"/>
      <c r="PE29" s="22">
        <v>8392</v>
      </c>
      <c r="PF29" s="1" t="s">
        <v>17</v>
      </c>
      <c r="PG29" s="1">
        <v>2021</v>
      </c>
      <c r="PH29" s="1" t="s">
        <v>46</v>
      </c>
      <c r="PI29" s="1">
        <v>29906.960521356348</v>
      </c>
      <c r="PJ29" s="1">
        <v>4622999.2247741111</v>
      </c>
      <c r="PK29" s="1">
        <v>6.4691684050234002E-3</v>
      </c>
      <c r="PL29" s="1"/>
      <c r="PM29" s="22">
        <v>9312</v>
      </c>
      <c r="PN29" s="1" t="s">
        <v>61</v>
      </c>
      <c r="PO29" s="1">
        <v>2021</v>
      </c>
      <c r="PP29" s="1" t="s">
        <v>46</v>
      </c>
      <c r="PQ29" s="1">
        <v>296111.64732205548</v>
      </c>
      <c r="PR29" s="1">
        <v>52589638.782026872</v>
      </c>
      <c r="PS29" s="1">
        <v>5.6306081231966001E-3</v>
      </c>
      <c r="PT29" s="1"/>
      <c r="PU29" s="22">
        <v>10232</v>
      </c>
      <c r="PV29" s="1" t="s">
        <v>44</v>
      </c>
      <c r="PW29" s="1">
        <v>2021</v>
      </c>
      <c r="PX29" s="1" t="s">
        <v>46</v>
      </c>
      <c r="PY29" s="1">
        <v>44562.556174400182</v>
      </c>
      <c r="PZ29" s="1">
        <v>6941447.2808129201</v>
      </c>
      <c r="QA29" s="1">
        <v>6.4197788114846001E-3</v>
      </c>
      <c r="QB29" s="1"/>
      <c r="QC29" s="22">
        <v>11152</v>
      </c>
      <c r="QD29" s="1" t="s">
        <v>38</v>
      </c>
      <c r="QE29" s="1">
        <v>2021</v>
      </c>
      <c r="QF29" s="1" t="s">
        <v>46</v>
      </c>
      <c r="QG29" s="1">
        <v>76342.668475752507</v>
      </c>
      <c r="QH29" s="1">
        <v>6710748.8614170318</v>
      </c>
      <c r="QI29" s="1">
        <v>1.13761772422567E-2</v>
      </c>
      <c r="QJ29" s="1"/>
      <c r="QK29" s="22">
        <v>12072</v>
      </c>
      <c r="QL29" s="1" t="s">
        <v>31</v>
      </c>
      <c r="QM29" s="1">
        <v>2021</v>
      </c>
      <c r="QN29" s="1" t="s">
        <v>46</v>
      </c>
      <c r="QO29" s="1">
        <v>60823.051094630893</v>
      </c>
      <c r="QP29" s="1">
        <v>10216133.49495957</v>
      </c>
      <c r="QQ29" s="1">
        <v>5.9536272822433003E-3</v>
      </c>
      <c r="QR29" s="1"/>
      <c r="QS29" s="22">
        <v>12992</v>
      </c>
      <c r="QT29" s="1" t="s">
        <v>51</v>
      </c>
      <c r="QU29" s="1">
        <v>2021</v>
      </c>
      <c r="QV29" s="1" t="s">
        <v>46</v>
      </c>
      <c r="QW29" s="1">
        <v>37817.772800763138</v>
      </c>
      <c r="QX29" s="1">
        <v>4972017.0252605537</v>
      </c>
      <c r="QY29" s="1">
        <v>7.6061229494244001E-3</v>
      </c>
      <c r="QZ29" s="1"/>
      <c r="RA29" s="22">
        <v>13912</v>
      </c>
      <c r="RB29" s="1" t="s">
        <v>57</v>
      </c>
      <c r="RC29" s="1">
        <v>2021</v>
      </c>
      <c r="RD29" s="1" t="s">
        <v>46</v>
      </c>
      <c r="RE29" s="1">
        <v>55856.818194049032</v>
      </c>
      <c r="RF29" s="1">
        <v>11049533.09007922</v>
      </c>
      <c r="RG29" s="1">
        <v>5.0551292745754E-3</v>
      </c>
      <c r="RH29" s="1"/>
      <c r="RI29" s="22">
        <v>8438</v>
      </c>
      <c r="RJ29" s="1" t="s">
        <v>17</v>
      </c>
      <c r="RK29" s="1">
        <v>2022</v>
      </c>
      <c r="RL29" s="1" t="s">
        <v>46</v>
      </c>
      <c r="RM29" s="1">
        <v>32391.788583542249</v>
      </c>
      <c r="RN29" s="1">
        <v>5007102.3902221443</v>
      </c>
      <c r="RO29" s="1">
        <v>6.4691684050234002E-3</v>
      </c>
      <c r="RP29" s="1"/>
      <c r="RQ29" s="22">
        <v>9358</v>
      </c>
      <c r="RR29" s="1" t="s">
        <v>61</v>
      </c>
      <c r="RS29" s="1">
        <v>2022</v>
      </c>
      <c r="RT29" s="1" t="s">
        <v>46</v>
      </c>
      <c r="RU29" s="1">
        <v>325192.38893045811</v>
      </c>
      <c r="RV29" s="1">
        <v>57754399.13688051</v>
      </c>
      <c r="RW29" s="1">
        <v>5.6306081231966001E-3</v>
      </c>
      <c r="RX29" s="1"/>
      <c r="RY29" s="22">
        <v>10278</v>
      </c>
      <c r="RZ29" s="1" t="s">
        <v>44</v>
      </c>
      <c r="SA29" s="1">
        <v>2022</v>
      </c>
      <c r="SB29" s="1" t="s">
        <v>46</v>
      </c>
      <c r="SC29" s="1">
        <v>44147.456329399851</v>
      </c>
      <c r="SD29" s="1">
        <v>6876787.7563667288</v>
      </c>
      <c r="SE29" s="1">
        <v>6.4197788114846001E-3</v>
      </c>
      <c r="SF29" s="1"/>
      <c r="SG29" s="22">
        <v>11198</v>
      </c>
      <c r="SH29" s="1" t="s">
        <v>38</v>
      </c>
      <c r="SI29" s="1">
        <v>2022</v>
      </c>
      <c r="SJ29" s="1" t="s">
        <v>46</v>
      </c>
      <c r="SK29" s="1">
        <v>71964.281597322959</v>
      </c>
      <c r="SL29" s="1">
        <v>6325875.5612572851</v>
      </c>
      <c r="SM29" s="1">
        <v>1.13761772422567E-2</v>
      </c>
      <c r="SN29" s="1"/>
      <c r="SO29" s="22">
        <v>12118</v>
      </c>
      <c r="SP29" s="1" t="s">
        <v>31</v>
      </c>
      <c r="SQ29" s="1">
        <v>2022</v>
      </c>
      <c r="SR29" s="1" t="s">
        <v>46</v>
      </c>
      <c r="SS29" s="1">
        <v>58239.508667204471</v>
      </c>
      <c r="ST29" s="1">
        <v>9782189.227885304</v>
      </c>
      <c r="SU29" s="1">
        <v>5.9536272822433003E-3</v>
      </c>
      <c r="SV29" s="1"/>
      <c r="SW29" s="22">
        <v>13038</v>
      </c>
      <c r="SX29" s="1" t="s">
        <v>51</v>
      </c>
      <c r="SY29" s="1">
        <v>2022</v>
      </c>
      <c r="SZ29" s="1" t="s">
        <v>46</v>
      </c>
      <c r="TA29" s="1">
        <v>36513.801431207488</v>
      </c>
      <c r="TB29" s="1">
        <v>4800579.963537232</v>
      </c>
      <c r="TC29" s="1">
        <v>7.6061229494244001E-3</v>
      </c>
      <c r="TD29" s="1"/>
      <c r="TE29" s="22">
        <v>13958</v>
      </c>
      <c r="TF29" s="1" t="s">
        <v>57</v>
      </c>
      <c r="TG29" s="1">
        <v>2022</v>
      </c>
      <c r="TH29" s="1" t="s">
        <v>46</v>
      </c>
      <c r="TI29" s="1">
        <v>47247.54239889788</v>
      </c>
      <c r="TJ29" s="1">
        <v>9346455.8140041605</v>
      </c>
      <c r="TK29" s="1">
        <v>5.0551292745754E-3</v>
      </c>
      <c r="TL29" s="1"/>
      <c r="TM29" s="22">
        <v>8484</v>
      </c>
      <c r="TN29" s="1" t="s">
        <v>17</v>
      </c>
      <c r="TO29" s="1">
        <v>2023</v>
      </c>
      <c r="TP29" s="1" t="s">
        <v>46</v>
      </c>
      <c r="TQ29" s="1">
        <v>32139.3573806528</v>
      </c>
      <c r="TR29" s="1">
        <v>4968081.7329930915</v>
      </c>
      <c r="TS29" s="1">
        <v>6.4691684050234002E-3</v>
      </c>
      <c r="TT29" s="1"/>
      <c r="TU29" s="22">
        <v>9404</v>
      </c>
      <c r="TV29" s="1" t="s">
        <v>61</v>
      </c>
      <c r="TW29" s="1">
        <v>2023</v>
      </c>
      <c r="TX29" s="1" t="s">
        <v>46</v>
      </c>
      <c r="TY29" s="1">
        <v>346621.88326269371</v>
      </c>
      <c r="TZ29" s="1">
        <v>61560292.543660469</v>
      </c>
      <c r="UA29" s="1">
        <v>5.6306081231966001E-3</v>
      </c>
      <c r="UB29" s="1"/>
      <c r="UC29" s="22">
        <v>10324</v>
      </c>
      <c r="UD29" s="1" t="s">
        <v>44</v>
      </c>
      <c r="UE29" s="1">
        <v>2023</v>
      </c>
      <c r="UF29" s="1" t="s">
        <v>46</v>
      </c>
      <c r="UG29" s="1">
        <v>47774.192748388392</v>
      </c>
      <c r="UH29" s="1">
        <v>7441719.4347760417</v>
      </c>
      <c r="UI29" s="1">
        <v>6.4197788114846001E-3</v>
      </c>
      <c r="UJ29" s="1"/>
      <c r="UK29" s="22">
        <v>11244</v>
      </c>
      <c r="UL29" s="1" t="s">
        <v>38</v>
      </c>
      <c r="UM29" s="1">
        <v>2023</v>
      </c>
      <c r="UN29" s="1" t="s">
        <v>46</v>
      </c>
      <c r="UO29" s="1">
        <v>78540.483319800478</v>
      </c>
      <c r="UP29" s="1">
        <v>6903943.3587640161</v>
      </c>
      <c r="UQ29" s="1">
        <v>1.13761772422567E-2</v>
      </c>
      <c r="UR29" s="1"/>
      <c r="US29" s="22">
        <v>12164</v>
      </c>
      <c r="UT29" s="1" t="s">
        <v>31</v>
      </c>
      <c r="UU29" s="1">
        <v>2023</v>
      </c>
      <c r="UV29" s="1" t="s">
        <v>46</v>
      </c>
      <c r="UW29" s="1">
        <v>63304.482749343661</v>
      </c>
      <c r="UX29" s="1">
        <v>10632926.743356841</v>
      </c>
      <c r="UY29" s="1">
        <v>5.9536272822433003E-3</v>
      </c>
      <c r="UZ29" s="1"/>
      <c r="VA29" s="22">
        <v>13084</v>
      </c>
      <c r="VB29" s="1" t="s">
        <v>51</v>
      </c>
      <c r="VC29" s="1">
        <v>2023</v>
      </c>
      <c r="VD29" s="1" t="s">
        <v>46</v>
      </c>
      <c r="VE29" s="1">
        <v>39993.950731855453</v>
      </c>
      <c r="VF29" s="1">
        <v>5258125.7228930313</v>
      </c>
      <c r="VG29" s="1">
        <v>7.6061229494244001E-3</v>
      </c>
      <c r="VH29" s="1"/>
      <c r="VI29" s="22">
        <v>14004</v>
      </c>
      <c r="VJ29" s="1" t="s">
        <v>57</v>
      </c>
      <c r="VK29" s="1">
        <v>2023</v>
      </c>
      <c r="VL29" s="1" t="s">
        <v>46</v>
      </c>
      <c r="VM29" s="1">
        <v>46701.183872403388</v>
      </c>
      <c r="VN29" s="1">
        <v>9238375.7834414635</v>
      </c>
      <c r="VO29" s="1">
        <v>5.0551292745754E-3</v>
      </c>
      <c r="VP29" s="1"/>
      <c r="VQ29" s="22">
        <v>8530</v>
      </c>
      <c r="VR29" s="1" t="s">
        <v>17</v>
      </c>
      <c r="VS29" s="1">
        <v>2024</v>
      </c>
      <c r="VT29" s="1" t="s">
        <v>46</v>
      </c>
      <c r="VU29" s="1">
        <v>33143.610631280928</v>
      </c>
      <c r="VV29" s="1">
        <v>5123318.5714479852</v>
      </c>
      <c r="VW29" s="1">
        <v>6.4691684050234002E-3</v>
      </c>
      <c r="VX29" s="1"/>
      <c r="VY29" s="22">
        <v>9450</v>
      </c>
      <c r="VZ29" s="1" t="s">
        <v>61</v>
      </c>
      <c r="WA29" s="1">
        <v>2024</v>
      </c>
      <c r="WB29" s="1" t="s">
        <v>46</v>
      </c>
      <c r="WC29" s="1">
        <v>364930.35893153457</v>
      </c>
      <c r="WD29" s="1">
        <v>64811890.820126347</v>
      </c>
      <c r="WE29" s="1">
        <v>5.6306081231966001E-3</v>
      </c>
      <c r="WF29" s="1"/>
      <c r="WG29" s="22">
        <v>10370</v>
      </c>
      <c r="WH29" s="1" t="s">
        <v>44</v>
      </c>
      <c r="WI29" s="1">
        <v>2024</v>
      </c>
      <c r="WJ29" s="1" t="s">
        <v>46</v>
      </c>
      <c r="WK29" s="1">
        <v>51658.240034410941</v>
      </c>
      <c r="WL29" s="1">
        <v>8046732.0684004631</v>
      </c>
      <c r="WM29" s="1">
        <v>6.4197788114846001E-3</v>
      </c>
      <c r="WN29" s="1"/>
      <c r="WO29" s="22">
        <v>11290</v>
      </c>
      <c r="WP29" s="1" t="s">
        <v>38</v>
      </c>
      <c r="WQ29" s="1">
        <v>2024</v>
      </c>
      <c r="WR29" s="1" t="s">
        <v>46</v>
      </c>
      <c r="WS29" s="1">
        <v>81377.826253714898</v>
      </c>
      <c r="WT29" s="1">
        <v>7153354.2877160665</v>
      </c>
      <c r="WU29" s="1">
        <v>1.13761772422567E-2</v>
      </c>
      <c r="WV29" s="1"/>
      <c r="WW29" s="22">
        <v>12210</v>
      </c>
      <c r="WX29" s="1" t="s">
        <v>31</v>
      </c>
      <c r="WY29" s="1">
        <v>2024</v>
      </c>
      <c r="WZ29" s="1" t="s">
        <v>46</v>
      </c>
      <c r="XA29" s="1">
        <v>65182.062067337429</v>
      </c>
      <c r="XB29" s="1">
        <v>10948294.03609846</v>
      </c>
      <c r="XC29" s="1">
        <v>5.9536272822433003E-3</v>
      </c>
      <c r="XD29" s="1"/>
      <c r="XE29" s="22">
        <v>13130</v>
      </c>
      <c r="XF29" s="1" t="s">
        <v>51</v>
      </c>
      <c r="XG29" s="1">
        <v>2024</v>
      </c>
      <c r="XH29" s="1" t="s">
        <v>46</v>
      </c>
      <c r="XI29" s="1">
        <v>41176.791942248223</v>
      </c>
      <c r="XJ29" s="1">
        <v>5413637.436055948</v>
      </c>
      <c r="XK29" s="1">
        <v>7.6061229494244001E-3</v>
      </c>
      <c r="XL29" s="1"/>
      <c r="XM29" s="22">
        <v>14050</v>
      </c>
      <c r="XN29" s="1" t="s">
        <v>57</v>
      </c>
      <c r="XO29" s="1">
        <v>2024</v>
      </c>
      <c r="XP29" s="1" t="s">
        <v>46</v>
      </c>
      <c r="XQ29" s="1">
        <v>44628.812395158347</v>
      </c>
      <c r="XR29" s="1">
        <v>8828421.583522588</v>
      </c>
      <c r="XS29" s="1">
        <v>5.0551292745754E-3</v>
      </c>
      <c r="XT29" s="1"/>
    </row>
    <row r="30" spans="1:644" x14ac:dyDescent="0.25">
      <c r="A30" s="2">
        <v>21</v>
      </c>
      <c r="B30" s="1" t="s">
        <v>17</v>
      </c>
      <c r="C30" s="1" t="s">
        <v>47</v>
      </c>
      <c r="D30" s="1">
        <v>7.6894427974884688E-3</v>
      </c>
      <c r="E30" s="1">
        <v>7.9659449104278433E-3</v>
      </c>
      <c r="F30" s="1">
        <v>8.1586426313742504E-3</v>
      </c>
      <c r="G30" s="1">
        <v>7.8715005408314647E-3</v>
      </c>
      <c r="H30" s="1">
        <v>7.9351914752382145E-3</v>
      </c>
      <c r="I30" s="1">
        <v>7.8369986003689208E-3</v>
      </c>
      <c r="J30" s="1">
        <v>8.0927621075757052E-3</v>
      </c>
      <c r="K30" s="1">
        <v>8.0927621075757156E-3</v>
      </c>
      <c r="L30" s="1">
        <v>8.0927621075757156E-3</v>
      </c>
      <c r="M30" s="1">
        <v>8.0927621075757156E-3</v>
      </c>
      <c r="N30" s="1">
        <v>8.0927621075757173E-3</v>
      </c>
      <c r="O30" s="1">
        <v>7.9928664994188842E-3</v>
      </c>
      <c r="P30" s="1"/>
      <c r="Q30" s="2">
        <v>172</v>
      </c>
      <c r="R30" s="1" t="s">
        <v>44</v>
      </c>
      <c r="S30" s="19" t="s">
        <v>25</v>
      </c>
      <c r="T30" s="19">
        <v>1.152324798453578E-2</v>
      </c>
      <c r="U30" s="1"/>
      <c r="AC30" s="22">
        <v>895</v>
      </c>
      <c r="AD30" s="1" t="s">
        <v>17</v>
      </c>
      <c r="AE30" s="1">
        <v>2014</v>
      </c>
      <c r="AF30" s="1" t="s">
        <v>47</v>
      </c>
      <c r="AG30" s="1">
        <v>31436.1</v>
      </c>
      <c r="AH30" s="1">
        <v>4088215.6</v>
      </c>
      <c r="AI30" s="1">
        <v>7.6894427974884003E-3</v>
      </c>
      <c r="AJ30" s="1"/>
      <c r="AK30" s="22">
        <v>2091</v>
      </c>
      <c r="AL30" s="1" t="s">
        <v>61</v>
      </c>
      <c r="AM30" s="1">
        <v>2014</v>
      </c>
      <c r="AN30" s="1" t="s">
        <v>47</v>
      </c>
      <c r="AO30" s="1">
        <v>256480.8</v>
      </c>
      <c r="AP30" s="1">
        <v>40350049.200000003</v>
      </c>
      <c r="AQ30" s="1">
        <v>6.3563937364418E-3</v>
      </c>
      <c r="AR30" s="1"/>
      <c r="AS30" s="22">
        <v>3287</v>
      </c>
      <c r="AT30" s="1" t="s">
        <v>44</v>
      </c>
      <c r="AU30" s="1">
        <v>2014</v>
      </c>
      <c r="AV30" s="1" t="s">
        <v>47</v>
      </c>
      <c r="AW30" s="1">
        <v>54071.7</v>
      </c>
      <c r="AX30" s="1">
        <v>6735816.8000000007</v>
      </c>
      <c r="AY30" s="1">
        <v>8.0274897025109006E-3</v>
      </c>
      <c r="AZ30" s="1"/>
      <c r="BA30" s="22">
        <v>4483</v>
      </c>
      <c r="BB30" s="1" t="s">
        <v>38</v>
      </c>
      <c r="BC30" s="1">
        <v>2014</v>
      </c>
      <c r="BD30" s="1" t="s">
        <v>47</v>
      </c>
      <c r="BE30" s="1">
        <v>91109</v>
      </c>
      <c r="BF30" s="1">
        <v>6538596.7000000002</v>
      </c>
      <c r="BG30" s="1">
        <v>1.3934029606077401E-2</v>
      </c>
      <c r="BH30" s="1"/>
      <c r="BI30" s="22">
        <v>5679</v>
      </c>
      <c r="BJ30" s="1" t="s">
        <v>31</v>
      </c>
      <c r="BK30" s="1">
        <v>2014</v>
      </c>
      <c r="BL30" s="1" t="s">
        <v>47</v>
      </c>
      <c r="BM30" s="1">
        <v>120072.5</v>
      </c>
      <c r="BN30" s="1">
        <v>9155477.5</v>
      </c>
      <c r="BO30" s="1">
        <v>1.3114826616088499E-2</v>
      </c>
      <c r="BP30" s="1"/>
      <c r="BQ30" s="22">
        <v>6875</v>
      </c>
      <c r="BR30" s="1" t="s">
        <v>51</v>
      </c>
      <c r="BS30" s="1">
        <v>2014</v>
      </c>
      <c r="BT30" s="1" t="s">
        <v>47</v>
      </c>
      <c r="BU30" s="1">
        <v>76818</v>
      </c>
      <c r="BV30" s="1">
        <v>4981875.5</v>
      </c>
      <c r="BW30" s="1">
        <v>1.54194941242509E-2</v>
      </c>
      <c r="BX30" s="1"/>
      <c r="BY30" s="22">
        <v>8071</v>
      </c>
      <c r="BZ30" s="1" t="s">
        <v>57</v>
      </c>
      <c r="CA30" s="1">
        <v>2014</v>
      </c>
      <c r="CB30" s="1" t="s">
        <v>47</v>
      </c>
      <c r="CC30" s="1">
        <v>116177.4</v>
      </c>
      <c r="CD30" s="1">
        <v>11026913.800000001</v>
      </c>
      <c r="CE30" s="1">
        <v>1.05358037713145E-2</v>
      </c>
      <c r="CF30" s="1"/>
      <c r="CG30" s="22">
        <v>941</v>
      </c>
      <c r="CH30" s="1" t="s">
        <v>17</v>
      </c>
      <c r="CI30" s="1">
        <v>2015</v>
      </c>
      <c r="CJ30" s="1" t="s">
        <v>47</v>
      </c>
      <c r="CK30" s="1">
        <v>28320</v>
      </c>
      <c r="CL30" s="1">
        <v>3555133.8</v>
      </c>
      <c r="CM30" s="1">
        <v>7.9659449104278E-3</v>
      </c>
      <c r="CN30" s="1"/>
      <c r="CO30" s="22">
        <v>2137</v>
      </c>
      <c r="CP30" s="1" t="s">
        <v>61</v>
      </c>
      <c r="CQ30" s="1">
        <v>2015</v>
      </c>
      <c r="CR30" s="1" t="s">
        <v>47</v>
      </c>
      <c r="CS30" s="1">
        <v>264835.40000000002</v>
      </c>
      <c r="CT30" s="1">
        <v>41208556.399999999</v>
      </c>
      <c r="CU30" s="1">
        <v>6.4267089928924997E-3</v>
      </c>
      <c r="CV30" s="1"/>
      <c r="CW30" s="22">
        <v>3333</v>
      </c>
      <c r="CX30" s="1" t="s">
        <v>44</v>
      </c>
      <c r="CY30" s="1">
        <v>2015</v>
      </c>
      <c r="CZ30" s="1" t="s">
        <v>47</v>
      </c>
      <c r="DA30" s="1">
        <v>51315.199999999997</v>
      </c>
      <c r="DB30" s="1">
        <v>6404349.4000000004</v>
      </c>
      <c r="DC30" s="1">
        <v>8.0125547178920998E-3</v>
      </c>
      <c r="DD30" s="1"/>
      <c r="DE30" s="22">
        <v>4529</v>
      </c>
      <c r="DF30" s="1" t="s">
        <v>38</v>
      </c>
      <c r="DG30" s="1">
        <v>2015</v>
      </c>
      <c r="DH30" s="1" t="s">
        <v>47</v>
      </c>
      <c r="DI30" s="1">
        <v>77419.5</v>
      </c>
      <c r="DJ30" s="1">
        <v>5531517.5999999996</v>
      </c>
      <c r="DK30" s="1">
        <v>1.3996068637655601E-2</v>
      </c>
      <c r="DL30" s="1"/>
      <c r="DM30" s="22">
        <v>5725</v>
      </c>
      <c r="DN30" s="1" t="s">
        <v>31</v>
      </c>
      <c r="DO30" s="1">
        <v>2015</v>
      </c>
      <c r="DP30" s="1" t="s">
        <v>47</v>
      </c>
      <c r="DQ30" s="1">
        <v>102054</v>
      </c>
      <c r="DR30" s="1">
        <v>7894528</v>
      </c>
      <c r="DS30" s="1">
        <v>1.29271819670536E-2</v>
      </c>
      <c r="DT30" s="1"/>
      <c r="DU30" s="22">
        <v>6921</v>
      </c>
      <c r="DV30" s="1" t="s">
        <v>51</v>
      </c>
      <c r="DW30" s="1">
        <v>2015</v>
      </c>
      <c r="DX30" s="1" t="s">
        <v>47</v>
      </c>
      <c r="DY30" s="1">
        <v>66601.399999999994</v>
      </c>
      <c r="DZ30" s="1">
        <v>4209274.5999999996</v>
      </c>
      <c r="EA30" s="1">
        <v>1.5822536263136601E-2</v>
      </c>
      <c r="EB30" s="1"/>
      <c r="EC30" s="22">
        <v>8117</v>
      </c>
      <c r="ED30" s="1" t="s">
        <v>57</v>
      </c>
      <c r="EE30" s="1">
        <v>2015</v>
      </c>
      <c r="EF30" s="1" t="s">
        <v>47</v>
      </c>
      <c r="EG30" s="1">
        <v>102643.6</v>
      </c>
      <c r="EH30" s="1">
        <v>9729477.0999999996</v>
      </c>
      <c r="EI30" s="1">
        <v>1.054975503257E-2</v>
      </c>
      <c r="EJ30" s="1"/>
      <c r="EK30" s="22">
        <v>987</v>
      </c>
      <c r="EL30" s="1" t="s">
        <v>17</v>
      </c>
      <c r="EM30" s="1">
        <v>2016</v>
      </c>
      <c r="EN30" s="1" t="s">
        <v>47</v>
      </c>
      <c r="EO30" s="1">
        <v>28256.7</v>
      </c>
      <c r="EP30" s="1">
        <v>3463407</v>
      </c>
      <c r="EQ30" s="1">
        <v>8.1586426313742001E-3</v>
      </c>
      <c r="ER30" s="1"/>
      <c r="ES30" s="22">
        <v>2183</v>
      </c>
      <c r="ET30" s="1" t="s">
        <v>61</v>
      </c>
      <c r="EU30" s="1">
        <v>2016</v>
      </c>
      <c r="EV30" s="1" t="s">
        <v>47</v>
      </c>
      <c r="EW30" s="1">
        <v>258901.7</v>
      </c>
      <c r="EX30" s="1">
        <v>42141395.200000003</v>
      </c>
      <c r="EY30" s="1">
        <v>6.1436432935185999E-3</v>
      </c>
      <c r="EZ30" s="1"/>
      <c r="FA30" s="22">
        <v>3379</v>
      </c>
      <c r="FB30" s="1" t="s">
        <v>44</v>
      </c>
      <c r="FC30" s="1">
        <v>2016</v>
      </c>
      <c r="FD30" s="1" t="s">
        <v>47</v>
      </c>
      <c r="FE30" s="1">
        <v>48017.3</v>
      </c>
      <c r="FF30" s="1">
        <v>5868597.7999999998</v>
      </c>
      <c r="FG30" s="1">
        <v>8.1820737485196002E-3</v>
      </c>
      <c r="FH30" s="1"/>
      <c r="FI30" s="22">
        <v>4575</v>
      </c>
      <c r="FJ30" s="1" t="s">
        <v>38</v>
      </c>
      <c r="FK30" s="1">
        <v>2016</v>
      </c>
      <c r="FL30" s="1" t="s">
        <v>47</v>
      </c>
      <c r="FM30" s="1">
        <v>77620.2</v>
      </c>
      <c r="FN30" s="1">
        <v>5582986.5</v>
      </c>
      <c r="FO30" s="1">
        <v>1.3902989018511801E-2</v>
      </c>
      <c r="FP30" s="1"/>
      <c r="FQ30" s="22">
        <v>5771</v>
      </c>
      <c r="FR30" s="1" t="s">
        <v>31</v>
      </c>
      <c r="FS30" s="1">
        <v>2016</v>
      </c>
      <c r="FT30" s="1" t="s">
        <v>47</v>
      </c>
      <c r="FU30" s="1">
        <v>106706.4</v>
      </c>
      <c r="FV30" s="1">
        <v>8130820.9000000004</v>
      </c>
      <c r="FW30" s="1">
        <v>1.31236933284313E-2</v>
      </c>
      <c r="FX30" s="1"/>
      <c r="FY30" s="22">
        <v>6967</v>
      </c>
      <c r="FZ30" s="1" t="s">
        <v>51</v>
      </c>
      <c r="GA30" s="1">
        <v>2016</v>
      </c>
      <c r="GB30" s="1" t="s">
        <v>47</v>
      </c>
      <c r="GC30" s="1">
        <v>67725.600000000006</v>
      </c>
      <c r="GD30" s="1">
        <v>4230502.5999999996</v>
      </c>
      <c r="GE30" s="1">
        <v>1.6008877999507599E-2</v>
      </c>
      <c r="GF30" s="1"/>
      <c r="GG30" s="22">
        <v>8163</v>
      </c>
      <c r="GH30" s="1" t="s">
        <v>57</v>
      </c>
      <c r="GI30" s="1">
        <v>2016</v>
      </c>
      <c r="GJ30" s="1" t="s">
        <v>47</v>
      </c>
      <c r="GK30" s="1">
        <v>110443.4</v>
      </c>
      <c r="GL30" s="1">
        <v>10773649.5</v>
      </c>
      <c r="GM30" s="1">
        <v>1.0251252372745099E-2</v>
      </c>
      <c r="GN30" s="1"/>
      <c r="GO30" s="22">
        <v>1033</v>
      </c>
      <c r="GP30" s="1" t="s">
        <v>17</v>
      </c>
      <c r="GQ30" s="1">
        <v>2017</v>
      </c>
      <c r="GR30" s="1" t="s">
        <v>47</v>
      </c>
      <c r="GS30" s="1">
        <v>29279.9</v>
      </c>
      <c r="GT30" s="1">
        <v>3719735.5</v>
      </c>
      <c r="GU30" s="1">
        <v>7.8715005408314005E-3</v>
      </c>
      <c r="GV30" s="1"/>
      <c r="GW30" s="22">
        <v>2229</v>
      </c>
      <c r="GX30" s="1" t="s">
        <v>61</v>
      </c>
      <c r="GY30" s="1">
        <v>2017</v>
      </c>
      <c r="GZ30" s="1" t="s">
        <v>47</v>
      </c>
      <c r="HA30" s="1">
        <v>262131.7</v>
      </c>
      <c r="HB30" s="1">
        <v>44107004.100000001</v>
      </c>
      <c r="HC30" s="1">
        <v>5.9430855790088997E-3</v>
      </c>
      <c r="HD30" s="1"/>
      <c r="HE30" s="22">
        <v>3425</v>
      </c>
      <c r="HF30" s="1" t="s">
        <v>44</v>
      </c>
      <c r="HG30" s="1">
        <v>2017</v>
      </c>
      <c r="HH30" s="1" t="s">
        <v>47</v>
      </c>
      <c r="HI30" s="1">
        <v>48520.1</v>
      </c>
      <c r="HJ30" s="1">
        <v>5855367.5</v>
      </c>
      <c r="HK30" s="1">
        <v>8.2864312103382003E-3</v>
      </c>
      <c r="HL30" s="1"/>
      <c r="HM30" s="22">
        <v>4621</v>
      </c>
      <c r="HN30" s="1" t="s">
        <v>38</v>
      </c>
      <c r="HO30" s="1">
        <v>2017</v>
      </c>
      <c r="HP30" s="1" t="s">
        <v>47</v>
      </c>
      <c r="HQ30" s="1">
        <v>81543.199999999997</v>
      </c>
      <c r="HR30" s="1">
        <v>5923445.7000000002</v>
      </c>
      <c r="HS30" s="1">
        <v>1.37661766697717E-2</v>
      </c>
      <c r="HT30" s="1"/>
      <c r="HU30" s="22">
        <v>5817</v>
      </c>
      <c r="HV30" s="1" t="s">
        <v>31</v>
      </c>
      <c r="HW30" s="1">
        <v>2017</v>
      </c>
      <c r="HX30" s="1" t="s">
        <v>47</v>
      </c>
      <c r="HY30" s="1">
        <v>114124</v>
      </c>
      <c r="HZ30" s="1">
        <v>8686095.3000000007</v>
      </c>
      <c r="IA30" s="1">
        <v>1.3138699963377E-2</v>
      </c>
      <c r="IB30" s="1"/>
      <c r="IC30" s="22">
        <v>7013</v>
      </c>
      <c r="ID30" s="1" t="s">
        <v>51</v>
      </c>
      <c r="IE30" s="1">
        <v>2017</v>
      </c>
      <c r="IF30" s="1" t="s">
        <v>47</v>
      </c>
      <c r="IG30" s="1">
        <v>71378.2</v>
      </c>
      <c r="IH30" s="1">
        <v>4472691.8</v>
      </c>
      <c r="II30" s="1">
        <v>1.59586672169095E-2</v>
      </c>
      <c r="IJ30" s="1"/>
      <c r="IK30" s="22">
        <v>8209</v>
      </c>
      <c r="IL30" s="1" t="s">
        <v>57</v>
      </c>
      <c r="IM30" s="1">
        <v>2017</v>
      </c>
      <c r="IN30" s="1" t="s">
        <v>47</v>
      </c>
      <c r="IO30" s="1">
        <v>109108.6</v>
      </c>
      <c r="IP30" s="1">
        <v>10750260.5</v>
      </c>
      <c r="IQ30" s="1">
        <v>1.01493912635884E-2</v>
      </c>
      <c r="IR30" s="1"/>
      <c r="IS30" s="22">
        <v>1079</v>
      </c>
      <c r="IT30" s="1" t="s">
        <v>17</v>
      </c>
      <c r="IU30" s="1">
        <v>2018</v>
      </c>
      <c r="IV30" s="1" t="s">
        <v>47</v>
      </c>
      <c r="IW30" s="1">
        <v>30980.3</v>
      </c>
      <c r="IX30" s="1">
        <v>3904165.4</v>
      </c>
      <c r="IY30" s="1">
        <v>7.9351914752382006E-3</v>
      </c>
      <c r="IZ30" s="1"/>
      <c r="JA30" s="22">
        <v>2275</v>
      </c>
      <c r="JB30" s="1" t="s">
        <v>61</v>
      </c>
      <c r="JC30" s="1">
        <v>2018</v>
      </c>
      <c r="JD30" s="1" t="s">
        <v>47</v>
      </c>
      <c r="JE30" s="1">
        <v>275751.09999999998</v>
      </c>
      <c r="JF30" s="1">
        <v>46669099.200000003</v>
      </c>
      <c r="JG30" s="1">
        <v>5.9086441505602997E-3</v>
      </c>
      <c r="JH30" s="1"/>
      <c r="JI30" s="22">
        <v>3471</v>
      </c>
      <c r="JJ30" s="1" t="s">
        <v>44</v>
      </c>
      <c r="JK30" s="1">
        <v>2018</v>
      </c>
      <c r="JL30" s="1" t="s">
        <v>47</v>
      </c>
      <c r="JM30" s="1">
        <v>51883</v>
      </c>
      <c r="JN30" s="1">
        <v>6336724.7000000002</v>
      </c>
      <c r="JO30" s="1">
        <v>8.1876683075722007E-3</v>
      </c>
      <c r="JP30" s="1"/>
      <c r="JQ30" s="22">
        <v>4667</v>
      </c>
      <c r="JR30" s="1" t="s">
        <v>38</v>
      </c>
      <c r="JS30" s="1">
        <v>2018</v>
      </c>
      <c r="JT30" s="1" t="s">
        <v>47</v>
      </c>
      <c r="JU30" s="1">
        <v>88414.1</v>
      </c>
      <c r="JV30" s="1">
        <v>6390706</v>
      </c>
      <c r="JW30" s="1">
        <v>1.3834793839679E-2</v>
      </c>
      <c r="JX30" s="1"/>
      <c r="JY30" s="22">
        <v>5863</v>
      </c>
      <c r="JZ30" s="1" t="s">
        <v>31</v>
      </c>
      <c r="KA30" s="1">
        <v>2018</v>
      </c>
      <c r="KB30" s="1" t="s">
        <v>47</v>
      </c>
      <c r="KC30" s="1">
        <v>118929.5</v>
      </c>
      <c r="KD30" s="1">
        <v>9443218.3000000007</v>
      </c>
      <c r="KE30" s="1">
        <v>1.2594170358213501E-2</v>
      </c>
      <c r="KF30" s="1"/>
      <c r="KG30" s="22">
        <v>7059</v>
      </c>
      <c r="KH30" s="1" t="s">
        <v>51</v>
      </c>
      <c r="KI30" s="1">
        <v>2018</v>
      </c>
      <c r="KJ30" s="1" t="s">
        <v>47</v>
      </c>
      <c r="KK30" s="1">
        <v>76121.600000000006</v>
      </c>
      <c r="KL30" s="1">
        <v>4803387.8</v>
      </c>
      <c r="KM30" s="1">
        <v>1.58474816461831E-2</v>
      </c>
      <c r="KN30" s="1"/>
      <c r="KO30" s="22">
        <v>8255</v>
      </c>
      <c r="KP30" s="1" t="s">
        <v>57</v>
      </c>
      <c r="KQ30" s="1">
        <v>2018</v>
      </c>
      <c r="KR30" s="1" t="s">
        <v>47</v>
      </c>
      <c r="KS30" s="1">
        <v>112324.6</v>
      </c>
      <c r="KT30" s="1">
        <v>11172914.4</v>
      </c>
      <c r="KU30" s="1">
        <v>1.0053294599661399E-2</v>
      </c>
      <c r="KV30" s="1"/>
      <c r="KW30" s="22">
        <v>1125</v>
      </c>
      <c r="KX30" s="1" t="s">
        <v>17</v>
      </c>
      <c r="KY30" s="1">
        <v>2019</v>
      </c>
      <c r="KZ30" s="1" t="s">
        <v>47</v>
      </c>
      <c r="LA30" s="1">
        <v>30997.9</v>
      </c>
      <c r="LB30" s="1">
        <v>3955328</v>
      </c>
      <c r="LC30" s="1">
        <v>7.8369986003689E-3</v>
      </c>
      <c r="LD30" s="1"/>
      <c r="LE30" s="22">
        <v>2321</v>
      </c>
      <c r="LF30" s="1" t="s">
        <v>61</v>
      </c>
      <c r="LG30" s="1">
        <v>2019</v>
      </c>
      <c r="LH30" s="1" t="s">
        <v>47</v>
      </c>
      <c r="LI30" s="1">
        <v>273820.59999999998</v>
      </c>
      <c r="LJ30" s="1">
        <v>48356774.5</v>
      </c>
      <c r="LK30" s="1">
        <v>5.6625075355263002E-3</v>
      </c>
      <c r="LL30" s="1"/>
      <c r="LM30" s="22">
        <v>3517</v>
      </c>
      <c r="LN30" s="1" t="s">
        <v>44</v>
      </c>
      <c r="LO30" s="1">
        <v>2019</v>
      </c>
      <c r="LP30" s="1" t="s">
        <v>47</v>
      </c>
      <c r="LQ30" s="1">
        <v>47356.2</v>
      </c>
      <c r="LR30" s="1">
        <v>6269787.0999999996</v>
      </c>
      <c r="LS30" s="1">
        <v>7.5530794339092999E-3</v>
      </c>
      <c r="LT30" s="1"/>
      <c r="LU30" s="22">
        <v>4713</v>
      </c>
      <c r="LV30" s="1" t="s">
        <v>38</v>
      </c>
      <c r="LW30" s="1">
        <v>2019</v>
      </c>
      <c r="LX30" s="1" t="s">
        <v>47</v>
      </c>
      <c r="LY30" s="1">
        <v>88196.9</v>
      </c>
      <c r="LZ30" s="1">
        <v>6182094.5</v>
      </c>
      <c r="MA30" s="1">
        <v>1.42665078963124E-2</v>
      </c>
      <c r="MB30" s="1"/>
      <c r="MC30" s="22">
        <v>5909</v>
      </c>
      <c r="MD30" s="1" t="s">
        <v>31</v>
      </c>
      <c r="ME30" s="1">
        <v>2019</v>
      </c>
      <c r="MF30" s="1" t="s">
        <v>47</v>
      </c>
      <c r="MG30" s="1">
        <v>117086.5</v>
      </c>
      <c r="MH30" s="1">
        <v>9237079</v>
      </c>
      <c r="MI30" s="1">
        <v>1.26757062486961E-2</v>
      </c>
      <c r="MJ30" s="1"/>
      <c r="MK30" s="22">
        <v>7105</v>
      </c>
      <c r="ML30" s="1" t="s">
        <v>51</v>
      </c>
      <c r="MM30" s="1">
        <v>2019</v>
      </c>
      <c r="MN30" s="1" t="s">
        <v>47</v>
      </c>
      <c r="MO30" s="1">
        <v>74133.899999999994</v>
      </c>
      <c r="MP30" s="1">
        <v>4608662</v>
      </c>
      <c r="MQ30" s="1">
        <v>1.6085775003677801E-2</v>
      </c>
      <c r="MR30" s="1"/>
      <c r="MS30" s="22">
        <v>8301</v>
      </c>
      <c r="MT30" s="1" t="s">
        <v>57</v>
      </c>
      <c r="MU30" s="1">
        <v>2019</v>
      </c>
      <c r="MV30" s="1" t="s">
        <v>47</v>
      </c>
      <c r="MW30" s="1">
        <v>114512.2</v>
      </c>
      <c r="MX30" s="1">
        <v>11338077</v>
      </c>
      <c r="MY30" s="1">
        <v>1.00997902907168E-2</v>
      </c>
      <c r="MZ30" s="1"/>
      <c r="NA30" s="22">
        <v>1171</v>
      </c>
      <c r="NB30" s="1" t="s">
        <v>17</v>
      </c>
      <c r="NC30" s="1">
        <v>2020</v>
      </c>
      <c r="ND30" s="1" t="s">
        <v>47</v>
      </c>
      <c r="NE30" s="1">
        <v>30629.1</v>
      </c>
      <c r="NF30" s="1">
        <v>3784752.3</v>
      </c>
      <c r="NG30" s="1">
        <v>8.0927621075757E-3</v>
      </c>
      <c r="NH30" s="1"/>
      <c r="NI30" s="22">
        <v>2367</v>
      </c>
      <c r="NJ30" s="1" t="s">
        <v>61</v>
      </c>
      <c r="NK30" s="1">
        <v>2020</v>
      </c>
      <c r="NL30" s="1" t="s">
        <v>47</v>
      </c>
      <c r="NM30" s="1">
        <v>265433.8</v>
      </c>
      <c r="NN30" s="1">
        <v>47421769.399999999</v>
      </c>
      <c r="NO30" s="1">
        <v>5.5972985267815998E-3</v>
      </c>
      <c r="NP30" s="1"/>
      <c r="NQ30" s="22">
        <v>3563</v>
      </c>
      <c r="NR30" s="1" t="s">
        <v>44</v>
      </c>
      <c r="NS30" s="1">
        <v>2020</v>
      </c>
      <c r="NT30" s="1" t="s">
        <v>47</v>
      </c>
      <c r="NU30" s="1">
        <v>47450</v>
      </c>
      <c r="NV30" s="1">
        <v>5955345.3666666672</v>
      </c>
      <c r="NW30" s="1">
        <v>7.9676319471893992E-3</v>
      </c>
      <c r="NX30" s="1"/>
      <c r="NY30" s="22">
        <v>4759</v>
      </c>
      <c r="NZ30" s="1" t="s">
        <v>38</v>
      </c>
      <c r="OA30" s="1">
        <v>2020</v>
      </c>
      <c r="OB30" s="1" t="s">
        <v>47</v>
      </c>
      <c r="OC30" s="1">
        <v>84185.7</v>
      </c>
      <c r="OD30" s="1">
        <v>5990228.4000000004</v>
      </c>
      <c r="OE30" s="1">
        <v>1.4053838080698201E-2</v>
      </c>
      <c r="OF30" s="1"/>
      <c r="OG30" s="22">
        <v>5955</v>
      </c>
      <c r="OH30" s="1" t="s">
        <v>31</v>
      </c>
      <c r="OI30" s="1">
        <v>2020</v>
      </c>
      <c r="OJ30" s="1" t="s">
        <v>47</v>
      </c>
      <c r="OK30" s="1">
        <v>116210.7</v>
      </c>
      <c r="OL30" s="1">
        <v>9257180.0999999996</v>
      </c>
      <c r="OM30" s="1">
        <v>1.255357449511E-2</v>
      </c>
      <c r="ON30" s="1"/>
      <c r="OO30" s="22">
        <v>7151</v>
      </c>
      <c r="OP30" s="1" t="s">
        <v>51</v>
      </c>
      <c r="OQ30" s="1">
        <v>2020</v>
      </c>
      <c r="OR30" s="1" t="s">
        <v>47</v>
      </c>
      <c r="OS30" s="1">
        <v>67315.399999999994</v>
      </c>
      <c r="OT30" s="1">
        <v>4352046.4000000004</v>
      </c>
      <c r="OU30" s="1">
        <v>1.5467528103560601E-2</v>
      </c>
      <c r="OV30" s="1"/>
      <c r="OW30" s="22">
        <v>8347</v>
      </c>
      <c r="OX30" s="1" t="s">
        <v>57</v>
      </c>
      <c r="OY30" s="1">
        <v>2020</v>
      </c>
      <c r="OZ30" s="1" t="s">
        <v>47</v>
      </c>
      <c r="PA30" s="1">
        <v>272968.59999999998</v>
      </c>
      <c r="PB30" s="1">
        <v>11082248.733333331</v>
      </c>
      <c r="PC30" s="1">
        <v>2.46311562362755E-2</v>
      </c>
      <c r="PD30" s="1"/>
      <c r="PE30" s="22">
        <v>8393</v>
      </c>
      <c r="PF30" s="1" t="s">
        <v>17</v>
      </c>
      <c r="PG30" s="1">
        <v>2021</v>
      </c>
      <c r="PH30" s="1" t="s">
        <v>47</v>
      </c>
      <c r="PI30" s="1">
        <v>37412.832949603762</v>
      </c>
      <c r="PJ30" s="1">
        <v>4622999.2247741111</v>
      </c>
      <c r="PK30" s="1">
        <v>8.0927621075757E-3</v>
      </c>
      <c r="PL30" s="1"/>
      <c r="PM30" s="22">
        <v>9313</v>
      </c>
      <c r="PN30" s="1" t="s">
        <v>61</v>
      </c>
      <c r="PO30" s="1">
        <v>2021</v>
      </c>
      <c r="PP30" s="1" t="s">
        <v>47</v>
      </c>
      <c r="PQ30" s="1">
        <v>294359.90767861548</v>
      </c>
      <c r="PR30" s="1">
        <v>52589638.782026872</v>
      </c>
      <c r="PS30" s="1">
        <v>5.5972985267815998E-3</v>
      </c>
      <c r="PT30" s="1"/>
      <c r="PU30" s="22">
        <v>10233</v>
      </c>
      <c r="PV30" s="1" t="s">
        <v>44</v>
      </c>
      <c r="PW30" s="1">
        <v>2021</v>
      </c>
      <c r="PX30" s="1" t="s">
        <v>47</v>
      </c>
      <c r="PY30" s="1">
        <v>55306.897114336003</v>
      </c>
      <c r="PZ30" s="1">
        <v>6941447.2808129201</v>
      </c>
      <c r="QA30" s="1">
        <v>7.9676319471893992E-3</v>
      </c>
      <c r="QB30" s="1"/>
      <c r="QC30" s="22">
        <v>11153</v>
      </c>
      <c r="QD30" s="1" t="s">
        <v>38</v>
      </c>
      <c r="QE30" s="1">
        <v>2021</v>
      </c>
      <c r="QF30" s="1" t="s">
        <v>47</v>
      </c>
      <c r="QG30" s="1">
        <v>94311.777898584754</v>
      </c>
      <c r="QH30" s="1">
        <v>6710748.8614170318</v>
      </c>
      <c r="QI30" s="1">
        <v>1.4053838080698201E-2</v>
      </c>
      <c r="QJ30" s="1"/>
      <c r="QK30" s="22">
        <v>12073</v>
      </c>
      <c r="QL30" s="1" t="s">
        <v>31</v>
      </c>
      <c r="QM30" s="1">
        <v>2021</v>
      </c>
      <c r="QN30" s="1" t="s">
        <v>47</v>
      </c>
      <c r="QO30" s="1">
        <v>128248.9928809634</v>
      </c>
      <c r="QP30" s="1">
        <v>10216133.49495957</v>
      </c>
      <c r="QQ30" s="1">
        <v>1.255357449511E-2</v>
      </c>
      <c r="QR30" s="1"/>
      <c r="QS30" s="22">
        <v>12993</v>
      </c>
      <c r="QT30" s="1" t="s">
        <v>51</v>
      </c>
      <c r="QU30" s="1">
        <v>2021</v>
      </c>
      <c r="QV30" s="1" t="s">
        <v>47</v>
      </c>
      <c r="QW30" s="1">
        <v>76904.81306959939</v>
      </c>
      <c r="QX30" s="1">
        <v>4972017.0252605537</v>
      </c>
      <c r="QY30" s="1">
        <v>1.5467528103560601E-2</v>
      </c>
      <c r="QZ30" s="1"/>
      <c r="RA30" s="22">
        <v>13913</v>
      </c>
      <c r="RB30" s="1" t="s">
        <v>57</v>
      </c>
      <c r="RC30" s="1">
        <v>2021</v>
      </c>
      <c r="RD30" s="1" t="s">
        <v>47</v>
      </c>
      <c r="RE30" s="1">
        <v>272162.77587963722</v>
      </c>
      <c r="RF30" s="1">
        <v>11049533.09007922</v>
      </c>
      <c r="RG30" s="1">
        <v>2.46311562362755E-2</v>
      </c>
      <c r="RH30" s="1"/>
      <c r="RI30" s="22">
        <v>8439</v>
      </c>
      <c r="RJ30" s="1" t="s">
        <v>17</v>
      </c>
      <c r="RK30" s="1">
        <v>2022</v>
      </c>
      <c r="RL30" s="1" t="s">
        <v>47</v>
      </c>
      <c r="RM30" s="1">
        <v>40521.288492341482</v>
      </c>
      <c r="RN30" s="1">
        <v>5007102.3902221443</v>
      </c>
      <c r="RO30" s="1">
        <v>8.0927621075757E-3</v>
      </c>
      <c r="RP30" s="1"/>
      <c r="RQ30" s="22">
        <v>9359</v>
      </c>
      <c r="RR30" s="1" t="s">
        <v>61</v>
      </c>
      <c r="RS30" s="1">
        <v>2022</v>
      </c>
      <c r="RT30" s="1" t="s">
        <v>47</v>
      </c>
      <c r="RU30" s="1">
        <v>323268.61320401769</v>
      </c>
      <c r="RV30" s="1">
        <v>57754399.13688051</v>
      </c>
      <c r="RW30" s="1">
        <v>5.5972985267815998E-3</v>
      </c>
      <c r="RX30" s="1"/>
      <c r="RY30" s="22">
        <v>10279</v>
      </c>
      <c r="RZ30" s="1" t="s">
        <v>44</v>
      </c>
      <c r="SA30" s="1">
        <v>2022</v>
      </c>
      <c r="SB30" s="1" t="s">
        <v>47</v>
      </c>
      <c r="SC30" s="1">
        <v>54791.713821668462</v>
      </c>
      <c r="SD30" s="1">
        <v>6876787.7563667288</v>
      </c>
      <c r="SE30" s="1">
        <v>7.9676319471893992E-3</v>
      </c>
      <c r="SF30" s="1"/>
      <c r="SG30" s="22">
        <v>11199</v>
      </c>
      <c r="SH30" s="1" t="s">
        <v>38</v>
      </c>
      <c r="SI30" s="1">
        <v>2022</v>
      </c>
      <c r="SJ30" s="1" t="s">
        <v>47</v>
      </c>
      <c r="SK30" s="1">
        <v>88902.830856555738</v>
      </c>
      <c r="SL30" s="1">
        <v>6325875.5612572851</v>
      </c>
      <c r="SM30" s="1">
        <v>1.4053838080698201E-2</v>
      </c>
      <c r="SN30" s="1"/>
      <c r="SO30" s="22">
        <v>12119</v>
      </c>
      <c r="SP30" s="1" t="s">
        <v>31</v>
      </c>
      <c r="SQ30" s="1">
        <v>2022</v>
      </c>
      <c r="SR30" s="1" t="s">
        <v>47</v>
      </c>
      <c r="SS30" s="1">
        <v>122801.4411975207</v>
      </c>
      <c r="ST30" s="1">
        <v>9782189.227885304</v>
      </c>
      <c r="SU30" s="1">
        <v>1.255357449511E-2</v>
      </c>
      <c r="SV30" s="1"/>
      <c r="SW30" s="22">
        <v>13039</v>
      </c>
      <c r="SX30" s="1" t="s">
        <v>51</v>
      </c>
      <c r="SY30" s="1">
        <v>2022</v>
      </c>
      <c r="SZ30" s="1" t="s">
        <v>47</v>
      </c>
      <c r="TA30" s="1">
        <v>74253.105499402052</v>
      </c>
      <c r="TB30" s="1">
        <v>4800579.963537232</v>
      </c>
      <c r="TC30" s="1">
        <v>1.5467528103560601E-2</v>
      </c>
      <c r="TD30" s="1"/>
      <c r="TE30" s="22">
        <v>13959</v>
      </c>
      <c r="TF30" s="1" t="s">
        <v>57</v>
      </c>
      <c r="TG30" s="1">
        <v>2022</v>
      </c>
      <c r="TH30" s="1" t="s">
        <v>47</v>
      </c>
      <c r="TI30" s="1">
        <v>230214.013410182</v>
      </c>
      <c r="TJ30" s="1">
        <v>9346455.8140041605</v>
      </c>
      <c r="TK30" s="1">
        <v>2.46311562362755E-2</v>
      </c>
      <c r="TL30" s="1"/>
      <c r="TM30" s="22">
        <v>8485</v>
      </c>
      <c r="TN30" s="1" t="s">
        <v>17</v>
      </c>
      <c r="TO30" s="1">
        <v>2023</v>
      </c>
      <c r="TP30" s="1" t="s">
        <v>47</v>
      </c>
      <c r="TQ30" s="1">
        <v>40205.503596105496</v>
      </c>
      <c r="TR30" s="1">
        <v>4968081.7329930915</v>
      </c>
      <c r="TS30" s="1">
        <v>8.0927621075757E-3</v>
      </c>
      <c r="TT30" s="1"/>
      <c r="TU30" s="22">
        <v>9405</v>
      </c>
      <c r="TV30" s="1" t="s">
        <v>61</v>
      </c>
      <c r="TW30" s="1">
        <v>2023</v>
      </c>
      <c r="TX30" s="1" t="s">
        <v>47</v>
      </c>
      <c r="TY30" s="1">
        <v>344571.33476287499</v>
      </c>
      <c r="TZ30" s="1">
        <v>61560292.543660469</v>
      </c>
      <c r="UA30" s="1">
        <v>5.5972985267815998E-3</v>
      </c>
      <c r="UB30" s="1"/>
      <c r="UC30" s="22">
        <v>10325</v>
      </c>
      <c r="UD30" s="1" t="s">
        <v>44</v>
      </c>
      <c r="UE30" s="1">
        <v>2023</v>
      </c>
      <c r="UF30" s="1" t="s">
        <v>47</v>
      </c>
      <c r="UG30" s="1">
        <v>59292.881510541833</v>
      </c>
      <c r="UH30" s="1">
        <v>7441719.4347760417</v>
      </c>
      <c r="UI30" s="1">
        <v>7.9676319471893992E-3</v>
      </c>
      <c r="UJ30" s="1"/>
      <c r="UK30" s="22">
        <v>11245</v>
      </c>
      <c r="UL30" s="1" t="s">
        <v>38</v>
      </c>
      <c r="UM30" s="1">
        <v>2023</v>
      </c>
      <c r="UN30" s="1" t="s">
        <v>47</v>
      </c>
      <c r="UO30" s="1">
        <v>97026.902082381159</v>
      </c>
      <c r="UP30" s="1">
        <v>6903943.3587640161</v>
      </c>
      <c r="UQ30" s="1">
        <v>1.4053838080698201E-2</v>
      </c>
      <c r="UR30" s="1"/>
      <c r="US30" s="22">
        <v>12165</v>
      </c>
      <c r="UT30" s="1" t="s">
        <v>31</v>
      </c>
      <c r="UU30" s="1">
        <v>2023</v>
      </c>
      <c r="UV30" s="1" t="s">
        <v>47</v>
      </c>
      <c r="UW30" s="1">
        <v>133481.2379737774</v>
      </c>
      <c r="UX30" s="1">
        <v>10632926.743356841</v>
      </c>
      <c r="UY30" s="1">
        <v>1.255357449511E-2</v>
      </c>
      <c r="UZ30" s="1"/>
      <c r="VA30" s="22">
        <v>13085</v>
      </c>
      <c r="VB30" s="1" t="s">
        <v>51</v>
      </c>
      <c r="VC30" s="1">
        <v>2023</v>
      </c>
      <c r="VD30" s="1" t="s">
        <v>47</v>
      </c>
      <c r="VE30" s="1">
        <v>81330.207390902855</v>
      </c>
      <c r="VF30" s="1">
        <v>5258125.7228930313</v>
      </c>
      <c r="VG30" s="1">
        <v>1.5467528103560601E-2</v>
      </c>
      <c r="VH30" s="1"/>
      <c r="VI30" s="22">
        <v>14005</v>
      </c>
      <c r="VJ30" s="1" t="s">
        <v>57</v>
      </c>
      <c r="VK30" s="1">
        <v>2023</v>
      </c>
      <c r="VL30" s="1" t="s">
        <v>47</v>
      </c>
      <c r="VM30" s="1">
        <v>227551.87729137079</v>
      </c>
      <c r="VN30" s="1">
        <v>9238375.7834414635</v>
      </c>
      <c r="VO30" s="1">
        <v>2.46311562362755E-2</v>
      </c>
      <c r="VP30" s="1"/>
      <c r="VQ30" s="22">
        <v>8531</v>
      </c>
      <c r="VR30" s="1" t="s">
        <v>17</v>
      </c>
      <c r="VS30" s="1">
        <v>2024</v>
      </c>
      <c r="VT30" s="1" t="s">
        <v>47</v>
      </c>
      <c r="VU30" s="1">
        <v>41461.798400053121</v>
      </c>
      <c r="VV30" s="1">
        <v>5123318.5714479852</v>
      </c>
      <c r="VW30" s="1">
        <v>8.0927621075757E-3</v>
      </c>
      <c r="VX30" s="1"/>
      <c r="VY30" s="22">
        <v>9451</v>
      </c>
      <c r="VZ30" s="1" t="s">
        <v>61</v>
      </c>
      <c r="WA30" s="1">
        <v>2024</v>
      </c>
      <c r="WB30" s="1" t="s">
        <v>47</v>
      </c>
      <c r="WC30" s="1">
        <v>362771.50100542308</v>
      </c>
      <c r="WD30" s="1">
        <v>64811890.820126347</v>
      </c>
      <c r="WE30" s="1">
        <v>5.5972985267815998E-3</v>
      </c>
      <c r="WF30" s="1"/>
      <c r="WG30" s="22">
        <v>10371</v>
      </c>
      <c r="WH30" s="1" t="s">
        <v>44</v>
      </c>
      <c r="WI30" s="1">
        <v>2024</v>
      </c>
      <c r="WJ30" s="1" t="s">
        <v>47</v>
      </c>
      <c r="WK30" s="1">
        <v>64113.399498660961</v>
      </c>
      <c r="WL30" s="1">
        <v>8046732.0684004631</v>
      </c>
      <c r="WM30" s="1">
        <v>7.9676319471893992E-3</v>
      </c>
      <c r="WN30" s="1"/>
      <c r="WO30" s="22">
        <v>11291</v>
      </c>
      <c r="WP30" s="1" t="s">
        <v>38</v>
      </c>
      <c r="WQ30" s="1">
        <v>2024</v>
      </c>
      <c r="WR30" s="1" t="s">
        <v>47</v>
      </c>
      <c r="WS30" s="1">
        <v>100532.0828934298</v>
      </c>
      <c r="WT30" s="1">
        <v>7153354.2877160665</v>
      </c>
      <c r="WU30" s="1">
        <v>1.4053838080698201E-2</v>
      </c>
      <c r="WV30" s="1"/>
      <c r="WW30" s="22">
        <v>12211</v>
      </c>
      <c r="WX30" s="1" t="s">
        <v>31</v>
      </c>
      <c r="WY30" s="1">
        <v>2024</v>
      </c>
      <c r="WZ30" s="1" t="s">
        <v>47</v>
      </c>
      <c r="XA30" s="1">
        <v>137440.22477653061</v>
      </c>
      <c r="XB30" s="1">
        <v>10948294.03609846</v>
      </c>
      <c r="XC30" s="1">
        <v>1.255357449511E-2</v>
      </c>
      <c r="XD30" s="1"/>
      <c r="XE30" s="22">
        <v>13131</v>
      </c>
      <c r="XF30" s="1" t="s">
        <v>51</v>
      </c>
      <c r="XG30" s="1">
        <v>2024</v>
      </c>
      <c r="XH30" s="1" t="s">
        <v>47</v>
      </c>
      <c r="XI30" s="1">
        <v>83735.589184683136</v>
      </c>
      <c r="XJ30" s="1">
        <v>5413637.436055948</v>
      </c>
      <c r="XK30" s="1">
        <v>1.5467528103560601E-2</v>
      </c>
      <c r="XL30" s="1"/>
      <c r="XM30" s="22">
        <v>14051</v>
      </c>
      <c r="XN30" s="1" t="s">
        <v>57</v>
      </c>
      <c r="XO30" s="1">
        <v>2024</v>
      </c>
      <c r="XP30" s="1" t="s">
        <v>47</v>
      </c>
      <c r="XQ30" s="1">
        <v>217454.23134345171</v>
      </c>
      <c r="XR30" s="1">
        <v>8828421.583522588</v>
      </c>
      <c r="XS30" s="1">
        <v>2.46311562362755E-2</v>
      </c>
      <c r="XT30" s="1"/>
    </row>
    <row r="31" spans="1:644" x14ac:dyDescent="0.25">
      <c r="A31" s="2">
        <v>22</v>
      </c>
      <c r="B31" s="1" t="s">
        <v>17</v>
      </c>
      <c r="C31" s="1" t="s">
        <v>48</v>
      </c>
      <c r="D31" s="1">
        <v>1.1600170989025139E-2</v>
      </c>
      <c r="E31" s="1">
        <v>1.208443969113061E-2</v>
      </c>
      <c r="F31" s="1">
        <v>1.2040744850374209E-2</v>
      </c>
      <c r="G31" s="1">
        <v>1.154893943400008E-2</v>
      </c>
      <c r="H31" s="1">
        <v>1.173751501409238E-2</v>
      </c>
      <c r="I31" s="1">
        <v>1.173111307077441E-2</v>
      </c>
      <c r="J31" s="1">
        <v>1.190838829796074E-2</v>
      </c>
      <c r="K31" s="1">
        <v>1.1908388297960719E-2</v>
      </c>
      <c r="L31" s="1">
        <v>1.190838829796073E-2</v>
      </c>
      <c r="M31" s="1">
        <v>1.1908388297960719E-2</v>
      </c>
      <c r="N31" s="1">
        <v>1.190838829796073E-2</v>
      </c>
      <c r="O31" s="1">
        <v>1.1844078594472771E-2</v>
      </c>
      <c r="P31" s="1"/>
      <c r="Q31" s="2">
        <v>173</v>
      </c>
      <c r="R31" s="1" t="s">
        <v>44</v>
      </c>
      <c r="S31" s="1" t="s">
        <v>27</v>
      </c>
      <c r="T31" s="1">
        <v>2.1241425210495331E-2</v>
      </c>
      <c r="U31" s="1"/>
      <c r="AC31" s="22">
        <v>896</v>
      </c>
      <c r="AD31" s="1" t="s">
        <v>17</v>
      </c>
      <c r="AE31" s="1">
        <v>2014</v>
      </c>
      <c r="AF31" s="1" t="s">
        <v>48</v>
      </c>
      <c r="AG31" s="1">
        <v>47424</v>
      </c>
      <c r="AH31" s="1">
        <v>4088215.6</v>
      </c>
      <c r="AI31" s="1">
        <v>1.16001709890251E-2</v>
      </c>
      <c r="AJ31" s="1"/>
      <c r="AK31" s="22">
        <v>2092</v>
      </c>
      <c r="AL31" s="1" t="s">
        <v>61</v>
      </c>
      <c r="AM31" s="1">
        <v>2014</v>
      </c>
      <c r="AN31" s="1" t="s">
        <v>48</v>
      </c>
      <c r="AO31" s="1">
        <v>494342.6</v>
      </c>
      <c r="AP31" s="1">
        <v>40350049.200000003</v>
      </c>
      <c r="AQ31" s="1">
        <v>1.22513506129752E-2</v>
      </c>
      <c r="AR31" s="1"/>
      <c r="AS31" s="22">
        <v>3288</v>
      </c>
      <c r="AT31" s="1" t="s">
        <v>44</v>
      </c>
      <c r="AU31" s="1">
        <v>2014</v>
      </c>
      <c r="AV31" s="1" t="s">
        <v>48</v>
      </c>
      <c r="AW31" s="1">
        <v>193409.7</v>
      </c>
      <c r="AX31" s="1">
        <v>6735816.8000000007</v>
      </c>
      <c r="AY31" s="1">
        <v>2.87136223776157E-2</v>
      </c>
      <c r="AZ31" s="1"/>
      <c r="BA31" s="22">
        <v>4484</v>
      </c>
      <c r="BB31" s="1" t="s">
        <v>38</v>
      </c>
      <c r="BC31" s="1">
        <v>2014</v>
      </c>
      <c r="BD31" s="1" t="s">
        <v>48</v>
      </c>
      <c r="BE31" s="1">
        <v>138723.9</v>
      </c>
      <c r="BF31" s="1">
        <v>6538596.7000000002</v>
      </c>
      <c r="BG31" s="1">
        <v>2.1216157895164199E-2</v>
      </c>
      <c r="BH31" s="1"/>
      <c r="BI31" s="22">
        <v>5680</v>
      </c>
      <c r="BJ31" s="1" t="s">
        <v>31</v>
      </c>
      <c r="BK31" s="1">
        <v>2014</v>
      </c>
      <c r="BL31" s="1" t="s">
        <v>48</v>
      </c>
      <c r="BM31" s="1">
        <v>167688.4</v>
      </c>
      <c r="BN31" s="1">
        <v>9155477.5</v>
      </c>
      <c r="BO31" s="1">
        <v>1.8315636732218501E-2</v>
      </c>
      <c r="BP31" s="1"/>
      <c r="BQ31" s="22">
        <v>6876</v>
      </c>
      <c r="BR31" s="1" t="s">
        <v>51</v>
      </c>
      <c r="BS31" s="1">
        <v>2014</v>
      </c>
      <c r="BT31" s="1" t="s">
        <v>48</v>
      </c>
      <c r="BU31" s="1">
        <v>114603.9</v>
      </c>
      <c r="BV31" s="1">
        <v>4981875.5</v>
      </c>
      <c r="BW31" s="1">
        <v>2.3004167807886802E-2</v>
      </c>
      <c r="BX31" s="1"/>
      <c r="BY31" s="22">
        <v>8072</v>
      </c>
      <c r="BZ31" s="1" t="s">
        <v>57</v>
      </c>
      <c r="CA31" s="1">
        <v>2014</v>
      </c>
      <c r="CB31" s="1" t="s">
        <v>48</v>
      </c>
      <c r="CC31" s="1">
        <v>222060.5</v>
      </c>
      <c r="CD31" s="1">
        <v>11026913.800000001</v>
      </c>
      <c r="CE31" s="1">
        <v>2.0138046241007099E-2</v>
      </c>
      <c r="CF31" s="1"/>
      <c r="CG31" s="22">
        <v>942</v>
      </c>
      <c r="CH31" s="1" t="s">
        <v>17</v>
      </c>
      <c r="CI31" s="1">
        <v>2015</v>
      </c>
      <c r="CJ31" s="1" t="s">
        <v>48</v>
      </c>
      <c r="CK31" s="1">
        <v>42961.8</v>
      </c>
      <c r="CL31" s="1">
        <v>3555133.8</v>
      </c>
      <c r="CM31" s="1">
        <v>1.20844396911306E-2</v>
      </c>
      <c r="CN31" s="1"/>
      <c r="CO31" s="22">
        <v>2138</v>
      </c>
      <c r="CP31" s="1" t="s">
        <v>61</v>
      </c>
      <c r="CQ31" s="1">
        <v>2015</v>
      </c>
      <c r="CR31" s="1" t="s">
        <v>48</v>
      </c>
      <c r="CS31" s="1">
        <v>471326.9</v>
      </c>
      <c r="CT31" s="1">
        <v>41208556.399999999</v>
      </c>
      <c r="CU31" s="1">
        <v>1.14375979450714E-2</v>
      </c>
      <c r="CV31" s="1"/>
      <c r="CW31" s="22">
        <v>3334</v>
      </c>
      <c r="CX31" s="1" t="s">
        <v>44</v>
      </c>
      <c r="CY31" s="1">
        <v>2015</v>
      </c>
      <c r="CZ31" s="1" t="s">
        <v>48</v>
      </c>
      <c r="DA31" s="1">
        <v>175684.5</v>
      </c>
      <c r="DB31" s="1">
        <v>6404349.4000000004</v>
      </c>
      <c r="DC31" s="1">
        <v>2.7432060468156199E-2</v>
      </c>
      <c r="DD31" s="1"/>
      <c r="DE31" s="22">
        <v>4530</v>
      </c>
      <c r="DF31" s="1" t="s">
        <v>38</v>
      </c>
      <c r="DG31" s="1">
        <v>2015</v>
      </c>
      <c r="DH31" s="1" t="s">
        <v>48</v>
      </c>
      <c r="DI31" s="1">
        <v>115594.1</v>
      </c>
      <c r="DJ31" s="1">
        <v>5531517.5999999996</v>
      </c>
      <c r="DK31" s="1">
        <v>2.08973573545169E-2</v>
      </c>
      <c r="DL31" s="1"/>
      <c r="DM31" s="22">
        <v>5726</v>
      </c>
      <c r="DN31" s="1" t="s">
        <v>31</v>
      </c>
      <c r="DO31" s="1">
        <v>2015</v>
      </c>
      <c r="DP31" s="1" t="s">
        <v>48</v>
      </c>
      <c r="DQ31" s="1">
        <v>143283.9</v>
      </c>
      <c r="DR31" s="1">
        <v>7894528</v>
      </c>
      <c r="DS31" s="1">
        <v>1.81497741220247E-2</v>
      </c>
      <c r="DT31" s="1"/>
      <c r="DU31" s="22">
        <v>6922</v>
      </c>
      <c r="DV31" s="1" t="s">
        <v>51</v>
      </c>
      <c r="DW31" s="1">
        <v>2015</v>
      </c>
      <c r="DX31" s="1" t="s">
        <v>48</v>
      </c>
      <c r="DY31" s="1">
        <v>94799.8</v>
      </c>
      <c r="DZ31" s="1">
        <v>4209274.5999999996</v>
      </c>
      <c r="EA31" s="1">
        <v>2.2521647791759601E-2</v>
      </c>
      <c r="EB31" s="1"/>
      <c r="EC31" s="22">
        <v>8118</v>
      </c>
      <c r="ED31" s="1" t="s">
        <v>57</v>
      </c>
      <c r="EE31" s="1">
        <v>2015</v>
      </c>
      <c r="EF31" s="1" t="s">
        <v>48</v>
      </c>
      <c r="EG31" s="1">
        <v>184505.4</v>
      </c>
      <c r="EH31" s="1">
        <v>9729477.0999999996</v>
      </c>
      <c r="EI31" s="1">
        <v>1.89635473832401E-2</v>
      </c>
      <c r="EJ31" s="1"/>
      <c r="EK31" s="22">
        <v>988</v>
      </c>
      <c r="EL31" s="1" t="s">
        <v>17</v>
      </c>
      <c r="EM31" s="1">
        <v>2016</v>
      </c>
      <c r="EN31" s="1" t="s">
        <v>48</v>
      </c>
      <c r="EO31" s="1">
        <v>41702</v>
      </c>
      <c r="EP31" s="1">
        <v>3463407</v>
      </c>
      <c r="EQ31" s="1">
        <v>1.2040744850374201E-2</v>
      </c>
      <c r="ER31" s="1"/>
      <c r="ES31" s="22">
        <v>2184</v>
      </c>
      <c r="ET31" s="1" t="s">
        <v>61</v>
      </c>
      <c r="EU31" s="1">
        <v>2016</v>
      </c>
      <c r="EV31" s="1" t="s">
        <v>48</v>
      </c>
      <c r="EW31" s="1">
        <v>456068.6</v>
      </c>
      <c r="EX31" s="1">
        <v>42141395.200000003</v>
      </c>
      <c r="EY31" s="1">
        <v>1.08223422085465E-2</v>
      </c>
      <c r="EZ31" s="1"/>
      <c r="FA31" s="22">
        <v>3380</v>
      </c>
      <c r="FB31" s="1" t="s">
        <v>44</v>
      </c>
      <c r="FC31" s="1">
        <v>2016</v>
      </c>
      <c r="FD31" s="1" t="s">
        <v>48</v>
      </c>
      <c r="FE31" s="1">
        <v>154277.6</v>
      </c>
      <c r="FF31" s="1">
        <v>5868597.7999999998</v>
      </c>
      <c r="FG31" s="1">
        <v>2.6288664730099501E-2</v>
      </c>
      <c r="FH31" s="1"/>
      <c r="FI31" s="22">
        <v>4576</v>
      </c>
      <c r="FJ31" s="1" t="s">
        <v>38</v>
      </c>
      <c r="FK31" s="1">
        <v>2016</v>
      </c>
      <c r="FL31" s="1" t="s">
        <v>48</v>
      </c>
      <c r="FM31" s="1">
        <v>116216</v>
      </c>
      <c r="FN31" s="1">
        <v>5582986.5</v>
      </c>
      <c r="FO31" s="1">
        <v>2.08160990537949E-2</v>
      </c>
      <c r="FP31" s="1"/>
      <c r="FQ31" s="22">
        <v>5772</v>
      </c>
      <c r="FR31" s="1" t="s">
        <v>31</v>
      </c>
      <c r="FS31" s="1">
        <v>2016</v>
      </c>
      <c r="FT31" s="1" t="s">
        <v>48</v>
      </c>
      <c r="FU31" s="1">
        <v>149920.4</v>
      </c>
      <c r="FV31" s="1">
        <v>8130820.9000000004</v>
      </c>
      <c r="FW31" s="1">
        <v>1.84385318338521E-2</v>
      </c>
      <c r="FX31" s="1"/>
      <c r="FY31" s="22">
        <v>6968</v>
      </c>
      <c r="FZ31" s="1" t="s">
        <v>51</v>
      </c>
      <c r="GA31" s="1">
        <v>2016</v>
      </c>
      <c r="GB31" s="1" t="s">
        <v>48</v>
      </c>
      <c r="GC31" s="1">
        <v>91358.6</v>
      </c>
      <c r="GD31" s="1">
        <v>4230502.5999999996</v>
      </c>
      <c r="GE31" s="1">
        <v>2.1595211878607499E-2</v>
      </c>
      <c r="GF31" s="1"/>
      <c r="GG31" s="22">
        <v>8164</v>
      </c>
      <c r="GH31" s="1" t="s">
        <v>57</v>
      </c>
      <c r="GI31" s="1">
        <v>2016</v>
      </c>
      <c r="GJ31" s="1" t="s">
        <v>48</v>
      </c>
      <c r="GK31" s="1">
        <v>176742.6</v>
      </c>
      <c r="GL31" s="1">
        <v>10773649.5</v>
      </c>
      <c r="GM31" s="1">
        <v>1.6405081676362301E-2</v>
      </c>
      <c r="GN31" s="1"/>
      <c r="GO31" s="22">
        <v>1034</v>
      </c>
      <c r="GP31" s="1" t="s">
        <v>17</v>
      </c>
      <c r="GQ31" s="1">
        <v>2017</v>
      </c>
      <c r="GR31" s="1" t="s">
        <v>48</v>
      </c>
      <c r="GS31" s="1">
        <v>42959</v>
      </c>
      <c r="GT31" s="1">
        <v>3719735.5</v>
      </c>
      <c r="GU31" s="1">
        <v>1.1548939434E-2</v>
      </c>
      <c r="GV31" s="1"/>
      <c r="GW31" s="22">
        <v>2230</v>
      </c>
      <c r="GX31" s="1" t="s">
        <v>61</v>
      </c>
      <c r="GY31" s="1">
        <v>2017</v>
      </c>
      <c r="GZ31" s="1" t="s">
        <v>48</v>
      </c>
      <c r="HA31" s="1">
        <v>468230</v>
      </c>
      <c r="HB31" s="1">
        <v>44107004.100000001</v>
      </c>
      <c r="HC31" s="1">
        <v>1.06157742869686E-2</v>
      </c>
      <c r="HD31" s="1"/>
      <c r="HE31" s="22">
        <v>3426</v>
      </c>
      <c r="HF31" s="1" t="s">
        <v>44</v>
      </c>
      <c r="HG31" s="1">
        <v>2017</v>
      </c>
      <c r="HH31" s="1" t="s">
        <v>48</v>
      </c>
      <c r="HI31" s="1">
        <v>149691.5</v>
      </c>
      <c r="HJ31" s="1">
        <v>5855367.5</v>
      </c>
      <c r="HK31" s="1">
        <v>2.5564834316548001E-2</v>
      </c>
      <c r="HL31" s="1"/>
      <c r="HM31" s="22">
        <v>4622</v>
      </c>
      <c r="HN31" s="1" t="s">
        <v>38</v>
      </c>
      <c r="HO31" s="1">
        <v>2017</v>
      </c>
      <c r="HP31" s="1" t="s">
        <v>48</v>
      </c>
      <c r="HQ31" s="1">
        <v>127364.2</v>
      </c>
      <c r="HR31" s="1">
        <v>5923445.7000000002</v>
      </c>
      <c r="HS31" s="1">
        <v>2.1501708034565001E-2</v>
      </c>
      <c r="HT31" s="1"/>
      <c r="HU31" s="22">
        <v>5818</v>
      </c>
      <c r="HV31" s="1" t="s">
        <v>31</v>
      </c>
      <c r="HW31" s="1">
        <v>2017</v>
      </c>
      <c r="HX31" s="1" t="s">
        <v>48</v>
      </c>
      <c r="HY31" s="1">
        <v>166493.20000000001</v>
      </c>
      <c r="HZ31" s="1">
        <v>8686095.3000000007</v>
      </c>
      <c r="IA31" s="1">
        <v>1.9167784171099201E-2</v>
      </c>
      <c r="IB31" s="1"/>
      <c r="IC31" s="22">
        <v>7014</v>
      </c>
      <c r="ID31" s="1" t="s">
        <v>51</v>
      </c>
      <c r="IE31" s="1">
        <v>2017</v>
      </c>
      <c r="IF31" s="1" t="s">
        <v>48</v>
      </c>
      <c r="IG31" s="1">
        <v>96076.6</v>
      </c>
      <c r="IH31" s="1">
        <v>4472691.8</v>
      </c>
      <c r="II31" s="1">
        <v>2.1480711011655201E-2</v>
      </c>
      <c r="IJ31" s="1"/>
      <c r="IK31" s="22">
        <v>8210</v>
      </c>
      <c r="IL31" s="1" t="s">
        <v>57</v>
      </c>
      <c r="IM31" s="1">
        <v>2017</v>
      </c>
      <c r="IN31" s="1" t="s">
        <v>48</v>
      </c>
      <c r="IO31" s="1">
        <v>181298.1</v>
      </c>
      <c r="IP31" s="1">
        <v>10750260.5</v>
      </c>
      <c r="IQ31" s="1">
        <v>1.6864530864159E-2</v>
      </c>
      <c r="IR31" s="1"/>
      <c r="IS31" s="22">
        <v>1080</v>
      </c>
      <c r="IT31" s="1" t="s">
        <v>17</v>
      </c>
      <c r="IU31" s="1">
        <v>2018</v>
      </c>
      <c r="IV31" s="1" t="s">
        <v>48</v>
      </c>
      <c r="IW31" s="1">
        <v>45825.2</v>
      </c>
      <c r="IX31" s="1">
        <v>3904165.4</v>
      </c>
      <c r="IY31" s="1">
        <v>1.1737515014092301E-2</v>
      </c>
      <c r="IZ31" s="1"/>
      <c r="JA31" s="22">
        <v>2276</v>
      </c>
      <c r="JB31" s="1" t="s">
        <v>61</v>
      </c>
      <c r="JC31" s="1">
        <v>2018</v>
      </c>
      <c r="JD31" s="1" t="s">
        <v>48</v>
      </c>
      <c r="JE31" s="1">
        <v>512005.2</v>
      </c>
      <c r="JF31" s="1">
        <v>46669099.200000003</v>
      </c>
      <c r="JG31" s="1">
        <v>1.0970968130449701E-2</v>
      </c>
      <c r="JH31" s="1"/>
      <c r="JI31" s="22">
        <v>3472</v>
      </c>
      <c r="JJ31" s="1" t="s">
        <v>44</v>
      </c>
      <c r="JK31" s="1">
        <v>2018</v>
      </c>
      <c r="JL31" s="1" t="s">
        <v>48</v>
      </c>
      <c r="JM31" s="1">
        <v>162798.70000000001</v>
      </c>
      <c r="JN31" s="1">
        <v>6336724.7000000002</v>
      </c>
      <c r="JO31" s="1">
        <v>2.5691300744057802E-2</v>
      </c>
      <c r="JP31" s="1"/>
      <c r="JQ31" s="22">
        <v>4668</v>
      </c>
      <c r="JR31" s="1" t="s">
        <v>38</v>
      </c>
      <c r="JS31" s="1">
        <v>2018</v>
      </c>
      <c r="JT31" s="1" t="s">
        <v>48</v>
      </c>
      <c r="JU31" s="1">
        <v>147177.1</v>
      </c>
      <c r="JV31" s="1">
        <v>6390706</v>
      </c>
      <c r="JW31" s="1">
        <v>2.30298655578898E-2</v>
      </c>
      <c r="JX31" s="1"/>
      <c r="JY31" s="22">
        <v>5864</v>
      </c>
      <c r="JZ31" s="1" t="s">
        <v>31</v>
      </c>
      <c r="KA31" s="1">
        <v>2018</v>
      </c>
      <c r="KB31" s="1" t="s">
        <v>48</v>
      </c>
      <c r="KC31" s="1">
        <v>179493.2</v>
      </c>
      <c r="KD31" s="1">
        <v>9443218.3000000007</v>
      </c>
      <c r="KE31" s="1">
        <v>1.9007630057646701E-2</v>
      </c>
      <c r="KF31" s="1"/>
      <c r="KG31" s="22">
        <v>7060</v>
      </c>
      <c r="KH31" s="1" t="s">
        <v>51</v>
      </c>
      <c r="KI31" s="1">
        <v>2018</v>
      </c>
      <c r="KJ31" s="1" t="s">
        <v>48</v>
      </c>
      <c r="KK31" s="1">
        <v>102665.1</v>
      </c>
      <c r="KL31" s="1">
        <v>4803387.8</v>
      </c>
      <c r="KM31" s="1">
        <v>2.1373477277849599E-2</v>
      </c>
      <c r="KN31" s="1"/>
      <c r="KO31" s="22">
        <v>8256</v>
      </c>
      <c r="KP31" s="1" t="s">
        <v>57</v>
      </c>
      <c r="KQ31" s="1">
        <v>2018</v>
      </c>
      <c r="KR31" s="1" t="s">
        <v>48</v>
      </c>
      <c r="KS31" s="1">
        <v>194956.3</v>
      </c>
      <c r="KT31" s="1">
        <v>11172914.4</v>
      </c>
      <c r="KU31" s="1">
        <v>1.7449010439031E-2</v>
      </c>
      <c r="KV31" s="1"/>
      <c r="KW31" s="22">
        <v>1126</v>
      </c>
      <c r="KX31" s="1" t="s">
        <v>17</v>
      </c>
      <c r="KY31" s="1">
        <v>2019</v>
      </c>
      <c r="KZ31" s="1" t="s">
        <v>48</v>
      </c>
      <c r="LA31" s="1">
        <v>46400.4</v>
      </c>
      <c r="LB31" s="1">
        <v>3955328</v>
      </c>
      <c r="LC31" s="1">
        <v>1.17311130707744E-2</v>
      </c>
      <c r="LD31" s="1"/>
      <c r="LE31" s="22">
        <v>2322</v>
      </c>
      <c r="LF31" s="1" t="s">
        <v>61</v>
      </c>
      <c r="LG31" s="1">
        <v>2019</v>
      </c>
      <c r="LH31" s="1" t="s">
        <v>48</v>
      </c>
      <c r="LI31" s="1">
        <v>512689.4</v>
      </c>
      <c r="LJ31" s="1">
        <v>48356774.5</v>
      </c>
      <c r="LK31" s="1">
        <v>1.06022249271402E-2</v>
      </c>
      <c r="LL31" s="1"/>
      <c r="LM31" s="22">
        <v>3518</v>
      </c>
      <c r="LN31" s="1" t="s">
        <v>44</v>
      </c>
      <c r="LO31" s="1">
        <v>2019</v>
      </c>
      <c r="LP31" s="1" t="s">
        <v>48</v>
      </c>
      <c r="LQ31" s="1">
        <v>158370.79999999999</v>
      </c>
      <c r="LR31" s="1">
        <v>6269787.0999999996</v>
      </c>
      <c r="LS31" s="1">
        <v>2.5259358487627101E-2</v>
      </c>
      <c r="LT31" s="1"/>
      <c r="LU31" s="22">
        <v>4714</v>
      </c>
      <c r="LV31" s="1" t="s">
        <v>38</v>
      </c>
      <c r="LW31" s="1">
        <v>2019</v>
      </c>
      <c r="LX31" s="1" t="s">
        <v>48</v>
      </c>
      <c r="LY31" s="1">
        <v>140277.70000000001</v>
      </c>
      <c r="LZ31" s="1">
        <v>6182094.5</v>
      </c>
      <c r="MA31" s="1">
        <v>2.2690966629513601E-2</v>
      </c>
      <c r="MB31" s="1"/>
      <c r="MC31" s="22">
        <v>5910</v>
      </c>
      <c r="MD31" s="1" t="s">
        <v>31</v>
      </c>
      <c r="ME31" s="1">
        <v>2019</v>
      </c>
      <c r="MF31" s="1" t="s">
        <v>48</v>
      </c>
      <c r="MG31" s="1">
        <v>174148.8</v>
      </c>
      <c r="MH31" s="1">
        <v>9237079</v>
      </c>
      <c r="MI31" s="1">
        <v>1.8853232715666898E-2</v>
      </c>
      <c r="MJ31" s="1"/>
      <c r="MK31" s="22">
        <v>7106</v>
      </c>
      <c r="ML31" s="1" t="s">
        <v>51</v>
      </c>
      <c r="MM31" s="1">
        <v>2019</v>
      </c>
      <c r="MN31" s="1" t="s">
        <v>48</v>
      </c>
      <c r="MO31" s="1">
        <v>104482.4</v>
      </c>
      <c r="MP31" s="1">
        <v>4608662</v>
      </c>
      <c r="MQ31" s="1">
        <v>2.2670874974124799E-2</v>
      </c>
      <c r="MR31" s="1"/>
      <c r="MS31" s="22">
        <v>8302</v>
      </c>
      <c r="MT31" s="1" t="s">
        <v>57</v>
      </c>
      <c r="MU31" s="1">
        <v>2019</v>
      </c>
      <c r="MV31" s="1" t="s">
        <v>48</v>
      </c>
      <c r="MW31" s="1">
        <v>199785</v>
      </c>
      <c r="MX31" s="1">
        <v>11338077</v>
      </c>
      <c r="MY31" s="1">
        <v>1.7620712930420199E-2</v>
      </c>
      <c r="MZ31" s="1"/>
      <c r="NA31" s="22">
        <v>1172</v>
      </c>
      <c r="NB31" s="1" t="s">
        <v>17</v>
      </c>
      <c r="NC31" s="1">
        <v>2020</v>
      </c>
      <c r="ND31" s="1" t="s">
        <v>48</v>
      </c>
      <c r="NE31" s="1">
        <v>45070.3</v>
      </c>
      <c r="NF31" s="1">
        <v>3784752.3</v>
      </c>
      <c r="NG31" s="1">
        <v>1.19083882979607E-2</v>
      </c>
      <c r="NH31" s="1"/>
      <c r="NI31" s="22">
        <v>2368</v>
      </c>
      <c r="NJ31" s="1" t="s">
        <v>61</v>
      </c>
      <c r="NK31" s="1">
        <v>2020</v>
      </c>
      <c r="NL31" s="1" t="s">
        <v>48</v>
      </c>
      <c r="NM31" s="1">
        <v>483291</v>
      </c>
      <c r="NN31" s="1">
        <v>47421769.399999999</v>
      </c>
      <c r="NO31" s="1">
        <v>1.0191332084711201E-2</v>
      </c>
      <c r="NP31" s="1"/>
      <c r="NQ31" s="22">
        <v>3564</v>
      </c>
      <c r="NR31" s="1" t="s">
        <v>44</v>
      </c>
      <c r="NS31" s="1">
        <v>2020</v>
      </c>
      <c r="NT31" s="1" t="s">
        <v>48</v>
      </c>
      <c r="NU31" s="1">
        <v>151898.6</v>
      </c>
      <c r="NV31" s="1">
        <v>5955345.3666666672</v>
      </c>
      <c r="NW31" s="1">
        <v>2.5506262130523701E-2</v>
      </c>
      <c r="NX31" s="1"/>
      <c r="NY31" s="22">
        <v>4760</v>
      </c>
      <c r="NZ31" s="1" t="s">
        <v>38</v>
      </c>
      <c r="OA31" s="1">
        <v>2020</v>
      </c>
      <c r="OB31" s="1" t="s">
        <v>48</v>
      </c>
      <c r="OC31" s="1">
        <v>135221.6</v>
      </c>
      <c r="OD31" s="1">
        <v>5990228.4000000004</v>
      </c>
      <c r="OE31" s="1">
        <v>2.2573696856032999E-2</v>
      </c>
      <c r="OF31" s="1"/>
      <c r="OG31" s="22">
        <v>5956</v>
      </c>
      <c r="OH31" s="1" t="s">
        <v>31</v>
      </c>
      <c r="OI31" s="1">
        <v>2020</v>
      </c>
      <c r="OJ31" s="1" t="s">
        <v>48</v>
      </c>
      <c r="OK31" s="1">
        <v>180111</v>
      </c>
      <c r="OL31" s="1">
        <v>9257180.0999999996</v>
      </c>
      <c r="OM31" s="1">
        <v>1.94563569093789E-2</v>
      </c>
      <c r="ON31" s="1"/>
      <c r="OO31" s="22">
        <v>7152</v>
      </c>
      <c r="OP31" s="1" t="s">
        <v>51</v>
      </c>
      <c r="OQ31" s="1">
        <v>2020</v>
      </c>
      <c r="OR31" s="1" t="s">
        <v>48</v>
      </c>
      <c r="OS31" s="1">
        <v>98976.2</v>
      </c>
      <c r="OT31" s="1">
        <v>4352046.4000000004</v>
      </c>
      <c r="OU31" s="1">
        <v>2.2742450540049301E-2</v>
      </c>
      <c r="OV31" s="1"/>
      <c r="OW31" s="22">
        <v>8348</v>
      </c>
      <c r="OX31" s="1" t="s">
        <v>57</v>
      </c>
      <c r="OY31" s="1">
        <v>2020</v>
      </c>
      <c r="OZ31" s="1" t="s">
        <v>48</v>
      </c>
      <c r="PA31" s="1">
        <v>201760.7</v>
      </c>
      <c r="PB31" s="1">
        <v>11082248.733333331</v>
      </c>
      <c r="PC31" s="1">
        <v>1.8205754522829E-2</v>
      </c>
      <c r="PD31" s="1"/>
      <c r="PE31" s="22">
        <v>8394</v>
      </c>
      <c r="PF31" s="1" t="s">
        <v>17</v>
      </c>
      <c r="PG31" s="1">
        <v>2021</v>
      </c>
      <c r="PH31" s="1" t="s">
        <v>48</v>
      </c>
      <c r="PI31" s="1">
        <v>55052.469869781409</v>
      </c>
      <c r="PJ31" s="1">
        <v>4622999.2247741111</v>
      </c>
      <c r="PK31" s="1">
        <v>1.19083882979607E-2</v>
      </c>
      <c r="PL31" s="1"/>
      <c r="PM31" s="22">
        <v>9314</v>
      </c>
      <c r="PN31" s="1" t="s">
        <v>61</v>
      </c>
      <c r="PO31" s="1">
        <v>2021</v>
      </c>
      <c r="PP31" s="1" t="s">
        <v>48</v>
      </c>
      <c r="PQ31" s="1">
        <v>535958.47304264293</v>
      </c>
      <c r="PR31" s="1">
        <v>52589638.782026872</v>
      </c>
      <c r="PS31" s="1">
        <v>1.0191332084711201E-2</v>
      </c>
      <c r="PT31" s="1"/>
      <c r="PU31" s="22">
        <v>10234</v>
      </c>
      <c r="PV31" s="1" t="s">
        <v>44</v>
      </c>
      <c r="PW31" s="1">
        <v>2021</v>
      </c>
      <c r="PX31" s="1" t="s">
        <v>48</v>
      </c>
      <c r="PY31" s="1">
        <v>177050.37390962531</v>
      </c>
      <c r="PZ31" s="1">
        <v>6941447.2808129201</v>
      </c>
      <c r="QA31" s="1">
        <v>2.5506262130523701E-2</v>
      </c>
      <c r="QB31" s="1"/>
      <c r="QC31" s="22">
        <v>11154</v>
      </c>
      <c r="QD31" s="1" t="s">
        <v>38</v>
      </c>
      <c r="QE31" s="1">
        <v>2021</v>
      </c>
      <c r="QF31" s="1" t="s">
        <v>48</v>
      </c>
      <c r="QG31" s="1">
        <v>151486.41047459669</v>
      </c>
      <c r="QH31" s="1">
        <v>6710748.8614170318</v>
      </c>
      <c r="QI31" s="1">
        <v>2.2573696856032999E-2</v>
      </c>
      <c r="QJ31" s="1"/>
      <c r="QK31" s="22">
        <v>12074</v>
      </c>
      <c r="QL31" s="1" t="s">
        <v>31</v>
      </c>
      <c r="QM31" s="1">
        <v>2021</v>
      </c>
      <c r="QN31" s="1" t="s">
        <v>48</v>
      </c>
      <c r="QO31" s="1">
        <v>198768.7395117938</v>
      </c>
      <c r="QP31" s="1">
        <v>10216133.49495957</v>
      </c>
      <c r="QQ31" s="1">
        <v>1.94563569093789E-2</v>
      </c>
      <c r="QR31" s="1"/>
      <c r="QS31" s="22">
        <v>12994</v>
      </c>
      <c r="QT31" s="1" t="s">
        <v>51</v>
      </c>
      <c r="QU31" s="1">
        <v>2021</v>
      </c>
      <c r="QV31" s="1" t="s">
        <v>48</v>
      </c>
      <c r="QW31" s="1">
        <v>113075.8512812712</v>
      </c>
      <c r="QX31" s="1">
        <v>4972017.0252605537</v>
      </c>
      <c r="QY31" s="1">
        <v>2.2742450540049301E-2</v>
      </c>
      <c r="QZ31" s="1"/>
      <c r="RA31" s="22">
        <v>13914</v>
      </c>
      <c r="RB31" s="1" t="s">
        <v>57</v>
      </c>
      <c r="RC31" s="1">
        <v>2021</v>
      </c>
      <c r="RD31" s="1" t="s">
        <v>48</v>
      </c>
      <c r="RE31" s="1">
        <v>201165.08702985841</v>
      </c>
      <c r="RF31" s="1">
        <v>11049533.09007922</v>
      </c>
      <c r="RG31" s="1">
        <v>1.8205754522829E-2</v>
      </c>
      <c r="RH31" s="1"/>
      <c r="RI31" s="22">
        <v>8440</v>
      </c>
      <c r="RJ31" s="1" t="s">
        <v>17</v>
      </c>
      <c r="RK31" s="1">
        <v>2022</v>
      </c>
      <c r="RL31" s="1" t="s">
        <v>48</v>
      </c>
      <c r="RM31" s="1">
        <v>59626.519510412443</v>
      </c>
      <c r="RN31" s="1">
        <v>5007102.3902221443</v>
      </c>
      <c r="RO31" s="1">
        <v>1.19083882979607E-2</v>
      </c>
      <c r="RP31" s="1"/>
      <c r="RQ31" s="22">
        <v>9360</v>
      </c>
      <c r="RR31" s="1" t="s">
        <v>61</v>
      </c>
      <c r="RS31" s="1">
        <v>2022</v>
      </c>
      <c r="RT31" s="1" t="s">
        <v>48</v>
      </c>
      <c r="RU31" s="1">
        <v>588594.26095690718</v>
      </c>
      <c r="RV31" s="1">
        <v>57754399.13688051</v>
      </c>
      <c r="RW31" s="1">
        <v>1.0191332084711201E-2</v>
      </c>
      <c r="RX31" s="1"/>
      <c r="RY31" s="22">
        <v>10280</v>
      </c>
      <c r="RZ31" s="1" t="s">
        <v>44</v>
      </c>
      <c r="SA31" s="1">
        <v>2022</v>
      </c>
      <c r="SB31" s="1" t="s">
        <v>48</v>
      </c>
      <c r="SC31" s="1">
        <v>175401.15112986579</v>
      </c>
      <c r="SD31" s="1">
        <v>6876787.7563667288</v>
      </c>
      <c r="SE31" s="1">
        <v>2.5506262130523701E-2</v>
      </c>
      <c r="SF31" s="1"/>
      <c r="SG31" s="22">
        <v>11200</v>
      </c>
      <c r="SH31" s="1" t="s">
        <v>38</v>
      </c>
      <c r="SI31" s="1">
        <v>2022</v>
      </c>
      <c r="SJ31" s="1" t="s">
        <v>48</v>
      </c>
      <c r="SK31" s="1">
        <v>142798.39726880961</v>
      </c>
      <c r="SL31" s="1">
        <v>6325875.5612572851</v>
      </c>
      <c r="SM31" s="1">
        <v>2.2573696856032999E-2</v>
      </c>
      <c r="SN31" s="1"/>
      <c r="SO31" s="22">
        <v>12120</v>
      </c>
      <c r="SP31" s="1" t="s">
        <v>31</v>
      </c>
      <c r="SQ31" s="1">
        <v>2022</v>
      </c>
      <c r="SR31" s="1" t="s">
        <v>48</v>
      </c>
      <c r="SS31" s="1">
        <v>190325.76497281811</v>
      </c>
      <c r="ST31" s="1">
        <v>9782189.227885304</v>
      </c>
      <c r="SU31" s="1">
        <v>1.94563569093789E-2</v>
      </c>
      <c r="SV31" s="1"/>
      <c r="SW31" s="22">
        <v>13040</v>
      </c>
      <c r="SX31" s="1" t="s">
        <v>51</v>
      </c>
      <c r="SY31" s="1">
        <v>2022</v>
      </c>
      <c r="SZ31" s="1" t="s">
        <v>48</v>
      </c>
      <c r="TA31" s="1">
        <v>109176.9523842972</v>
      </c>
      <c r="TB31" s="1">
        <v>4800579.963537232</v>
      </c>
      <c r="TC31" s="1">
        <v>2.2742450540049301E-2</v>
      </c>
      <c r="TD31" s="1"/>
      <c r="TE31" s="22">
        <v>13960</v>
      </c>
      <c r="TF31" s="1" t="s">
        <v>57</v>
      </c>
      <c r="TG31" s="1">
        <v>2022</v>
      </c>
      <c r="TH31" s="1" t="s">
        <v>48</v>
      </c>
      <c r="TI31" s="1">
        <v>170159.2802082276</v>
      </c>
      <c r="TJ31" s="1">
        <v>9346455.8140041605</v>
      </c>
      <c r="TK31" s="1">
        <v>1.8205754522829E-2</v>
      </c>
      <c r="TL31" s="1"/>
      <c r="TM31" s="22">
        <v>8486</v>
      </c>
      <c r="TN31" s="1" t="s">
        <v>17</v>
      </c>
      <c r="TO31" s="1">
        <v>2023</v>
      </c>
      <c r="TP31" s="1" t="s">
        <v>48</v>
      </c>
      <c r="TQ31" s="1">
        <v>59161.846372487227</v>
      </c>
      <c r="TR31" s="1">
        <v>4968081.7329930915</v>
      </c>
      <c r="TS31" s="1">
        <v>1.19083882979607E-2</v>
      </c>
      <c r="TT31" s="1"/>
      <c r="TU31" s="22">
        <v>9406</v>
      </c>
      <c r="TV31" s="1" t="s">
        <v>61</v>
      </c>
      <c r="TW31" s="1">
        <v>2023</v>
      </c>
      <c r="TX31" s="1" t="s">
        <v>48</v>
      </c>
      <c r="TY31" s="1">
        <v>627381.38454441458</v>
      </c>
      <c r="TZ31" s="1">
        <v>61560292.543660469</v>
      </c>
      <c r="UA31" s="1">
        <v>1.0191332084711201E-2</v>
      </c>
      <c r="UB31" s="1"/>
      <c r="UC31" s="22">
        <v>10326</v>
      </c>
      <c r="UD31" s="1" t="s">
        <v>44</v>
      </c>
      <c r="UE31" s="1">
        <v>2023</v>
      </c>
      <c r="UF31" s="1" t="s">
        <v>48</v>
      </c>
      <c r="UG31" s="1">
        <v>189810.4466052104</v>
      </c>
      <c r="UH31" s="1">
        <v>7441719.4347760417</v>
      </c>
      <c r="UI31" s="1">
        <v>2.5506262130523701E-2</v>
      </c>
      <c r="UJ31" s="1"/>
      <c r="UK31" s="22">
        <v>11246</v>
      </c>
      <c r="UL31" s="1" t="s">
        <v>38</v>
      </c>
      <c r="UM31" s="1">
        <v>2023</v>
      </c>
      <c r="UN31" s="1" t="s">
        <v>48</v>
      </c>
      <c r="UO31" s="1">
        <v>155847.5244919612</v>
      </c>
      <c r="UP31" s="1">
        <v>6903943.3587640161</v>
      </c>
      <c r="UQ31" s="1">
        <v>2.2573696856032999E-2</v>
      </c>
      <c r="UR31" s="1"/>
      <c r="US31" s="22">
        <v>12166</v>
      </c>
      <c r="UT31" s="1" t="s">
        <v>31</v>
      </c>
      <c r="UU31" s="1">
        <v>2023</v>
      </c>
      <c r="UV31" s="1" t="s">
        <v>48</v>
      </c>
      <c r="UW31" s="1">
        <v>206878.0177100304</v>
      </c>
      <c r="UX31" s="1">
        <v>10632926.743356841</v>
      </c>
      <c r="UY31" s="1">
        <v>1.94563569093789E-2</v>
      </c>
      <c r="UZ31" s="1"/>
      <c r="VA31" s="22">
        <v>13086</v>
      </c>
      <c r="VB31" s="1" t="s">
        <v>51</v>
      </c>
      <c r="VC31" s="1">
        <v>2023</v>
      </c>
      <c r="VD31" s="1" t="s">
        <v>48</v>
      </c>
      <c r="VE31" s="1">
        <v>119582.6641862557</v>
      </c>
      <c r="VF31" s="1">
        <v>5258125.7228930313</v>
      </c>
      <c r="VG31" s="1">
        <v>2.2742450540049301E-2</v>
      </c>
      <c r="VH31" s="1"/>
      <c r="VI31" s="22">
        <v>14006</v>
      </c>
      <c r="VJ31" s="1" t="s">
        <v>57</v>
      </c>
      <c r="VK31" s="1">
        <v>2023</v>
      </c>
      <c r="VL31" s="1" t="s">
        <v>48</v>
      </c>
      <c r="VM31" s="1">
        <v>168191.60170298329</v>
      </c>
      <c r="VN31" s="1">
        <v>9238375.7834414635</v>
      </c>
      <c r="VO31" s="1">
        <v>1.8205754522829E-2</v>
      </c>
      <c r="VP31" s="1"/>
      <c r="VQ31" s="22">
        <v>8532</v>
      </c>
      <c r="VR31" s="1" t="s">
        <v>17</v>
      </c>
      <c r="VS31" s="1">
        <v>2024</v>
      </c>
      <c r="VT31" s="1" t="s">
        <v>48</v>
      </c>
      <c r="VU31" s="1">
        <v>61010.466922955922</v>
      </c>
      <c r="VV31" s="1">
        <v>5123318.5714479852</v>
      </c>
      <c r="VW31" s="1">
        <v>1.19083882979607E-2</v>
      </c>
      <c r="VX31" s="1"/>
      <c r="VY31" s="22">
        <v>9452</v>
      </c>
      <c r="VZ31" s="1" t="s">
        <v>61</v>
      </c>
      <c r="WA31" s="1">
        <v>2024</v>
      </c>
      <c r="WB31" s="1" t="s">
        <v>48</v>
      </c>
      <c r="WC31" s="1">
        <v>660519.50238595298</v>
      </c>
      <c r="WD31" s="1">
        <v>64811890.820126347</v>
      </c>
      <c r="WE31" s="1">
        <v>1.0191332084711201E-2</v>
      </c>
      <c r="WF31" s="1"/>
      <c r="WG31" s="22">
        <v>10372</v>
      </c>
      <c r="WH31" s="1" t="s">
        <v>44</v>
      </c>
      <c r="WI31" s="1">
        <v>2024</v>
      </c>
      <c r="WJ31" s="1" t="s">
        <v>48</v>
      </c>
      <c r="WK31" s="1">
        <v>205242.05743071341</v>
      </c>
      <c r="WL31" s="1">
        <v>8046732.0684004631</v>
      </c>
      <c r="WM31" s="1">
        <v>2.5506262130523701E-2</v>
      </c>
      <c r="WN31" s="1"/>
      <c r="WO31" s="22">
        <v>11292</v>
      </c>
      <c r="WP31" s="1" t="s">
        <v>38</v>
      </c>
      <c r="WQ31" s="1">
        <v>2024</v>
      </c>
      <c r="WR31" s="1" t="s">
        <v>48</v>
      </c>
      <c r="WS31" s="1">
        <v>161477.6511947063</v>
      </c>
      <c r="WT31" s="1">
        <v>7153354.2877160665</v>
      </c>
      <c r="WU31" s="1">
        <v>2.2573696856032999E-2</v>
      </c>
      <c r="WV31" s="1"/>
      <c r="WW31" s="22">
        <v>12212</v>
      </c>
      <c r="WX31" s="1" t="s">
        <v>31</v>
      </c>
      <c r="WY31" s="1">
        <v>2024</v>
      </c>
      <c r="WZ31" s="1" t="s">
        <v>48</v>
      </c>
      <c r="XA31" s="1">
        <v>213013.91631515609</v>
      </c>
      <c r="XB31" s="1">
        <v>10948294.03609846</v>
      </c>
      <c r="XC31" s="1">
        <v>1.94563569093789E-2</v>
      </c>
      <c r="XD31" s="1"/>
      <c r="XE31" s="22">
        <v>13132</v>
      </c>
      <c r="XF31" s="1" t="s">
        <v>51</v>
      </c>
      <c r="XG31" s="1">
        <v>2024</v>
      </c>
      <c r="XH31" s="1" t="s">
        <v>48</v>
      </c>
      <c r="XI31" s="1">
        <v>123119.3816312617</v>
      </c>
      <c r="XJ31" s="1">
        <v>5413637.436055948</v>
      </c>
      <c r="XK31" s="1">
        <v>2.2742450540049301E-2</v>
      </c>
      <c r="XL31" s="1"/>
      <c r="XM31" s="22">
        <v>14052</v>
      </c>
      <c r="XN31" s="1" t="s">
        <v>57</v>
      </c>
      <c r="XO31" s="1">
        <v>2024</v>
      </c>
      <c r="XP31" s="1" t="s">
        <v>48</v>
      </c>
      <c r="XQ31" s="1">
        <v>160728.07617365749</v>
      </c>
      <c r="XR31" s="1">
        <v>8828421.583522588</v>
      </c>
      <c r="XS31" s="1">
        <v>1.8205754522829E-2</v>
      </c>
      <c r="XT31" s="1"/>
    </row>
    <row r="32" spans="1:644" x14ac:dyDescent="0.25">
      <c r="A32" s="2">
        <v>23</v>
      </c>
      <c r="B32" s="1" t="s">
        <v>17</v>
      </c>
      <c r="C32" s="1" t="s">
        <v>49</v>
      </c>
      <c r="D32" s="1">
        <v>3.251663146141314E-3</v>
      </c>
      <c r="E32" s="1">
        <v>3.690747166815494E-3</v>
      </c>
      <c r="F32" s="1">
        <v>3.8457218571193051E-3</v>
      </c>
      <c r="G32" s="1">
        <v>3.8328262856324059E-3</v>
      </c>
      <c r="H32" s="1">
        <v>3.8159756243933722E-3</v>
      </c>
      <c r="I32" s="1">
        <v>3.898816988123362E-3</v>
      </c>
      <c r="J32" s="1">
        <v>4.0807161937651774E-3</v>
      </c>
      <c r="K32" s="1">
        <v>4.080716193765108E-3</v>
      </c>
      <c r="L32" s="1">
        <v>4.0807161937651088E-3</v>
      </c>
      <c r="M32" s="1">
        <v>4.0807161937651088E-3</v>
      </c>
      <c r="N32" s="1">
        <v>4.0807161937651088E-3</v>
      </c>
      <c r="O32" s="1">
        <v>3.885393821550078E-3</v>
      </c>
      <c r="P32" s="1"/>
      <c r="Q32" s="2">
        <v>176</v>
      </c>
      <c r="R32" s="1" t="s">
        <v>44</v>
      </c>
      <c r="S32" s="1" t="s">
        <v>29</v>
      </c>
      <c r="T32" s="1">
        <v>5.4204618255143687E-2</v>
      </c>
      <c r="U32" s="1"/>
      <c r="AC32" s="22">
        <v>897</v>
      </c>
      <c r="AD32" s="1" t="s">
        <v>17</v>
      </c>
      <c r="AE32" s="1">
        <v>2014</v>
      </c>
      <c r="AF32" s="1" t="s">
        <v>49</v>
      </c>
      <c r="AG32" s="1">
        <v>13293.5</v>
      </c>
      <c r="AH32" s="1">
        <v>4088215.6</v>
      </c>
      <c r="AI32" s="1">
        <v>3.2516631461413001E-3</v>
      </c>
      <c r="AJ32" s="1"/>
      <c r="AK32" s="22">
        <v>2093</v>
      </c>
      <c r="AL32" s="1" t="s">
        <v>61</v>
      </c>
      <c r="AM32" s="1">
        <v>2014</v>
      </c>
      <c r="AN32" s="1" t="s">
        <v>49</v>
      </c>
      <c r="AO32" s="1">
        <v>100382.8</v>
      </c>
      <c r="AP32" s="1">
        <v>40350049.200000003</v>
      </c>
      <c r="AQ32" s="1">
        <v>2.4877987013705999E-3</v>
      </c>
      <c r="AR32" s="1"/>
      <c r="AS32" s="22">
        <v>3289</v>
      </c>
      <c r="AT32" s="1" t="s">
        <v>44</v>
      </c>
      <c r="AU32" s="1">
        <v>2014</v>
      </c>
      <c r="AV32" s="1" t="s">
        <v>49</v>
      </c>
      <c r="AW32" s="1">
        <v>66590.399999999994</v>
      </c>
      <c r="AX32" s="1">
        <v>6735816.8000000007</v>
      </c>
      <c r="AY32" s="1">
        <v>9.8860170900133999E-3</v>
      </c>
      <c r="AZ32" s="1"/>
      <c r="BA32" s="22">
        <v>4485</v>
      </c>
      <c r="BB32" s="1" t="s">
        <v>38</v>
      </c>
      <c r="BC32" s="1">
        <v>2014</v>
      </c>
      <c r="BD32" s="1" t="s">
        <v>49</v>
      </c>
      <c r="BE32" s="1">
        <v>47955.199999999997</v>
      </c>
      <c r="BF32" s="1">
        <v>6538596.7000000002</v>
      </c>
      <c r="BG32" s="1">
        <v>7.3341730955817997E-3</v>
      </c>
      <c r="BH32" s="1"/>
      <c r="BI32" s="22">
        <v>5681</v>
      </c>
      <c r="BJ32" s="1" t="s">
        <v>31</v>
      </c>
      <c r="BK32" s="1">
        <v>2014</v>
      </c>
      <c r="BL32" s="1" t="s">
        <v>49</v>
      </c>
      <c r="BM32" s="1">
        <v>81987.5</v>
      </c>
      <c r="BN32" s="1">
        <v>9155477.5</v>
      </c>
      <c r="BO32" s="1">
        <v>8.9550217342568E-3</v>
      </c>
      <c r="BP32" s="1"/>
      <c r="BQ32" s="22">
        <v>6877</v>
      </c>
      <c r="BR32" s="1" t="s">
        <v>51</v>
      </c>
      <c r="BS32" s="1">
        <v>2014</v>
      </c>
      <c r="BT32" s="1" t="s">
        <v>49</v>
      </c>
      <c r="BU32" s="1">
        <v>49096.800000000003</v>
      </c>
      <c r="BV32" s="1">
        <v>4981875.5</v>
      </c>
      <c r="BW32" s="1">
        <v>9.8550836928783005E-3</v>
      </c>
      <c r="BX32" s="1"/>
      <c r="BY32" s="22">
        <v>8073</v>
      </c>
      <c r="BZ32" s="1" t="s">
        <v>57</v>
      </c>
      <c r="CA32" s="1">
        <v>2014</v>
      </c>
      <c r="CB32" s="1" t="s">
        <v>49</v>
      </c>
      <c r="CC32" s="1">
        <v>98117.7</v>
      </c>
      <c r="CD32" s="1">
        <v>11026913.800000001</v>
      </c>
      <c r="CE32" s="1">
        <v>8.8980200425615996E-3</v>
      </c>
      <c r="CF32" s="1"/>
      <c r="CG32" s="22">
        <v>943</v>
      </c>
      <c r="CH32" s="1" t="s">
        <v>17</v>
      </c>
      <c r="CI32" s="1">
        <v>2015</v>
      </c>
      <c r="CJ32" s="1" t="s">
        <v>49</v>
      </c>
      <c r="CK32" s="1">
        <v>13121.1</v>
      </c>
      <c r="CL32" s="1">
        <v>3555133.8</v>
      </c>
      <c r="CM32" s="1">
        <v>3.6907471668153999E-3</v>
      </c>
      <c r="CN32" s="1"/>
      <c r="CO32" s="22">
        <v>2139</v>
      </c>
      <c r="CP32" s="1" t="s">
        <v>61</v>
      </c>
      <c r="CQ32" s="1">
        <v>2015</v>
      </c>
      <c r="CR32" s="1" t="s">
        <v>49</v>
      </c>
      <c r="CS32" s="1">
        <v>100789.1</v>
      </c>
      <c r="CT32" s="1">
        <v>41208556.399999999</v>
      </c>
      <c r="CU32" s="1">
        <v>2.4458294297346E-3</v>
      </c>
      <c r="CV32" s="1"/>
      <c r="CW32" s="22">
        <v>3335</v>
      </c>
      <c r="CX32" s="1" t="s">
        <v>44</v>
      </c>
      <c r="CY32" s="1">
        <v>2015</v>
      </c>
      <c r="CZ32" s="1" t="s">
        <v>49</v>
      </c>
      <c r="DA32" s="1">
        <v>62049.5</v>
      </c>
      <c r="DB32" s="1">
        <v>6404349.4000000004</v>
      </c>
      <c r="DC32" s="1">
        <v>9.6886500289943001E-3</v>
      </c>
      <c r="DD32" s="1"/>
      <c r="DE32" s="22">
        <v>4531</v>
      </c>
      <c r="DF32" s="1" t="s">
        <v>38</v>
      </c>
      <c r="DG32" s="1">
        <v>2015</v>
      </c>
      <c r="DH32" s="1" t="s">
        <v>49</v>
      </c>
      <c r="DI32" s="1">
        <v>40357.4</v>
      </c>
      <c r="DJ32" s="1">
        <v>5531517.5999999996</v>
      </c>
      <c r="DK32" s="1">
        <v>7.2959001341692999E-3</v>
      </c>
      <c r="DL32" s="1"/>
      <c r="DM32" s="22">
        <v>5727</v>
      </c>
      <c r="DN32" s="1" t="s">
        <v>31</v>
      </c>
      <c r="DO32" s="1">
        <v>2015</v>
      </c>
      <c r="DP32" s="1" t="s">
        <v>49</v>
      </c>
      <c r="DQ32" s="1">
        <v>69166.100000000006</v>
      </c>
      <c r="DR32" s="1">
        <v>7894528</v>
      </c>
      <c r="DS32" s="1">
        <v>8.7612710981581007E-3</v>
      </c>
      <c r="DT32" s="1"/>
      <c r="DU32" s="22">
        <v>6923</v>
      </c>
      <c r="DV32" s="1" t="s">
        <v>51</v>
      </c>
      <c r="DW32" s="1">
        <v>2015</v>
      </c>
      <c r="DX32" s="1" t="s">
        <v>49</v>
      </c>
      <c r="DY32" s="1">
        <v>41440.699999999997</v>
      </c>
      <c r="DZ32" s="1">
        <v>4209274.5999999996</v>
      </c>
      <c r="EA32" s="1">
        <v>9.8450930238668001E-3</v>
      </c>
      <c r="EB32" s="1"/>
      <c r="EC32" s="22">
        <v>8119</v>
      </c>
      <c r="ED32" s="1" t="s">
        <v>57</v>
      </c>
      <c r="EE32" s="1">
        <v>2015</v>
      </c>
      <c r="EF32" s="1" t="s">
        <v>49</v>
      </c>
      <c r="EG32" s="1">
        <v>88786.3</v>
      </c>
      <c r="EH32" s="1">
        <v>9729477.0999999996</v>
      </c>
      <c r="EI32" s="1">
        <v>9.1254955520681993E-3</v>
      </c>
      <c r="EJ32" s="1"/>
      <c r="EK32" s="22">
        <v>989</v>
      </c>
      <c r="EL32" s="1" t="s">
        <v>17</v>
      </c>
      <c r="EM32" s="1">
        <v>2016</v>
      </c>
      <c r="EN32" s="1" t="s">
        <v>49</v>
      </c>
      <c r="EO32" s="1">
        <v>13319.3</v>
      </c>
      <c r="EP32" s="1">
        <v>3463407</v>
      </c>
      <c r="EQ32" s="1">
        <v>3.8457218571192999E-3</v>
      </c>
      <c r="ER32" s="1"/>
      <c r="ES32" s="22">
        <v>2185</v>
      </c>
      <c r="ET32" s="1" t="s">
        <v>61</v>
      </c>
      <c r="EU32" s="1">
        <v>2016</v>
      </c>
      <c r="EV32" s="1" t="s">
        <v>49</v>
      </c>
      <c r="EW32" s="1">
        <v>106968.8</v>
      </c>
      <c r="EX32" s="1">
        <v>42141395.200000003</v>
      </c>
      <c r="EY32" s="1">
        <v>2.5383307669889E-3</v>
      </c>
      <c r="EZ32" s="1"/>
      <c r="FA32" s="22">
        <v>3381</v>
      </c>
      <c r="FB32" s="1" t="s">
        <v>44</v>
      </c>
      <c r="FC32" s="1">
        <v>2016</v>
      </c>
      <c r="FD32" s="1" t="s">
        <v>49</v>
      </c>
      <c r="FE32" s="1">
        <v>56864.800000000003</v>
      </c>
      <c r="FF32" s="1">
        <v>5868597.7999999998</v>
      </c>
      <c r="FG32" s="1">
        <v>9.6896740819415999E-3</v>
      </c>
      <c r="FH32" s="1"/>
      <c r="FI32" s="22">
        <v>4577</v>
      </c>
      <c r="FJ32" s="1" t="s">
        <v>38</v>
      </c>
      <c r="FK32" s="1">
        <v>2016</v>
      </c>
      <c r="FL32" s="1" t="s">
        <v>49</v>
      </c>
      <c r="FM32" s="1">
        <v>39457.300000000003</v>
      </c>
      <c r="FN32" s="1">
        <v>5582986.5</v>
      </c>
      <c r="FO32" s="1">
        <v>7.0674181282722997E-3</v>
      </c>
      <c r="FP32" s="1"/>
      <c r="FQ32" s="22">
        <v>5773</v>
      </c>
      <c r="FR32" s="1" t="s">
        <v>31</v>
      </c>
      <c r="FS32" s="1">
        <v>2016</v>
      </c>
      <c r="FT32" s="1" t="s">
        <v>49</v>
      </c>
      <c r="FU32" s="1">
        <v>71193.600000000006</v>
      </c>
      <c r="FV32" s="1">
        <v>8130820.9000000004</v>
      </c>
      <c r="FW32" s="1">
        <v>8.7560162590717E-3</v>
      </c>
      <c r="FX32" s="1"/>
      <c r="FY32" s="22">
        <v>6969</v>
      </c>
      <c r="FZ32" s="1" t="s">
        <v>51</v>
      </c>
      <c r="GA32" s="1">
        <v>2016</v>
      </c>
      <c r="GB32" s="1" t="s">
        <v>49</v>
      </c>
      <c r="GC32" s="1">
        <v>42775.9</v>
      </c>
      <c r="GD32" s="1">
        <v>4230502.5999999996</v>
      </c>
      <c r="GE32" s="1">
        <v>1.0111304505521401E-2</v>
      </c>
      <c r="GF32" s="1"/>
      <c r="GG32" s="22">
        <v>8165</v>
      </c>
      <c r="GH32" s="1" t="s">
        <v>57</v>
      </c>
      <c r="GI32" s="1">
        <v>2016</v>
      </c>
      <c r="GJ32" s="1" t="s">
        <v>49</v>
      </c>
      <c r="GK32" s="1">
        <v>99840.4</v>
      </c>
      <c r="GL32" s="1">
        <v>10773649.5</v>
      </c>
      <c r="GM32" s="1">
        <v>9.2670918986179993E-3</v>
      </c>
      <c r="GN32" s="1"/>
      <c r="GO32" s="22">
        <v>1035</v>
      </c>
      <c r="GP32" s="1" t="s">
        <v>17</v>
      </c>
      <c r="GQ32" s="1">
        <v>2017</v>
      </c>
      <c r="GR32" s="1" t="s">
        <v>49</v>
      </c>
      <c r="GS32" s="1">
        <v>14257.1</v>
      </c>
      <c r="GT32" s="1">
        <v>3719735.5</v>
      </c>
      <c r="GU32" s="1">
        <v>3.8328262856323998E-3</v>
      </c>
      <c r="GV32" s="1"/>
      <c r="GW32" s="22">
        <v>2231</v>
      </c>
      <c r="GX32" s="1" t="s">
        <v>61</v>
      </c>
      <c r="GY32" s="1">
        <v>2017</v>
      </c>
      <c r="GZ32" s="1" t="s">
        <v>49</v>
      </c>
      <c r="HA32" s="1">
        <v>114149.3</v>
      </c>
      <c r="HB32" s="1">
        <v>44107004.100000001</v>
      </c>
      <c r="HC32" s="1">
        <v>2.5880084655307001E-3</v>
      </c>
      <c r="HD32" s="1"/>
      <c r="HE32" s="22">
        <v>3427</v>
      </c>
      <c r="HF32" s="1" t="s">
        <v>44</v>
      </c>
      <c r="HG32" s="1">
        <v>2017</v>
      </c>
      <c r="HH32" s="1" t="s">
        <v>49</v>
      </c>
      <c r="HI32" s="1">
        <v>56270.6</v>
      </c>
      <c r="HJ32" s="1">
        <v>5855367.5</v>
      </c>
      <c r="HK32" s="1">
        <v>9.6100885213438007E-3</v>
      </c>
      <c r="HL32" s="1"/>
      <c r="HM32" s="22">
        <v>4623</v>
      </c>
      <c r="HN32" s="1" t="s">
        <v>38</v>
      </c>
      <c r="HO32" s="1">
        <v>2017</v>
      </c>
      <c r="HP32" s="1" t="s">
        <v>49</v>
      </c>
      <c r="HQ32" s="1">
        <v>42793.4</v>
      </c>
      <c r="HR32" s="1">
        <v>5923445.7000000002</v>
      </c>
      <c r="HS32" s="1">
        <v>7.2244099409909E-3</v>
      </c>
      <c r="HT32" s="1"/>
      <c r="HU32" s="22">
        <v>5819</v>
      </c>
      <c r="HV32" s="1" t="s">
        <v>31</v>
      </c>
      <c r="HW32" s="1">
        <v>2017</v>
      </c>
      <c r="HX32" s="1" t="s">
        <v>49</v>
      </c>
      <c r="HY32" s="1">
        <v>78089.7</v>
      </c>
      <c r="HZ32" s="1">
        <v>8686095.3000000007</v>
      </c>
      <c r="IA32" s="1">
        <v>8.9901960896054001E-3</v>
      </c>
      <c r="IB32" s="1"/>
      <c r="IC32" s="22">
        <v>7015</v>
      </c>
      <c r="ID32" s="1" t="s">
        <v>51</v>
      </c>
      <c r="IE32" s="1">
        <v>2017</v>
      </c>
      <c r="IF32" s="1" t="s">
        <v>49</v>
      </c>
      <c r="IG32" s="1">
        <v>46259.5</v>
      </c>
      <c r="IH32" s="1">
        <v>4472691.8</v>
      </c>
      <c r="II32" s="1">
        <v>1.03426531647005E-2</v>
      </c>
      <c r="IJ32" s="1"/>
      <c r="IK32" s="22">
        <v>8211</v>
      </c>
      <c r="IL32" s="1" t="s">
        <v>57</v>
      </c>
      <c r="IM32" s="1">
        <v>2017</v>
      </c>
      <c r="IN32" s="1" t="s">
        <v>49</v>
      </c>
      <c r="IO32" s="1">
        <v>100330.6</v>
      </c>
      <c r="IP32" s="1">
        <v>10750260.5</v>
      </c>
      <c r="IQ32" s="1">
        <v>9.3328529108666E-3</v>
      </c>
      <c r="IR32" s="1"/>
      <c r="IS32" s="22">
        <v>1081</v>
      </c>
      <c r="IT32" s="1" t="s">
        <v>17</v>
      </c>
      <c r="IU32" s="1">
        <v>2018</v>
      </c>
      <c r="IV32" s="1" t="s">
        <v>49</v>
      </c>
      <c r="IW32" s="1">
        <v>14898.2</v>
      </c>
      <c r="IX32" s="1">
        <v>3904165.4</v>
      </c>
      <c r="IY32" s="1">
        <v>3.8159756243933002E-3</v>
      </c>
      <c r="IZ32" s="1"/>
      <c r="JA32" s="22">
        <v>2277</v>
      </c>
      <c r="JB32" s="1" t="s">
        <v>61</v>
      </c>
      <c r="JC32" s="1">
        <v>2018</v>
      </c>
      <c r="JD32" s="1" t="s">
        <v>49</v>
      </c>
      <c r="JE32" s="1">
        <v>120984.7</v>
      </c>
      <c r="JF32" s="1">
        <v>46669099.200000003</v>
      </c>
      <c r="JG32" s="1">
        <v>2.5923941553172001E-3</v>
      </c>
      <c r="JH32" s="1"/>
      <c r="JI32" s="22">
        <v>3473</v>
      </c>
      <c r="JJ32" s="1" t="s">
        <v>44</v>
      </c>
      <c r="JK32" s="1">
        <v>2018</v>
      </c>
      <c r="JL32" s="1" t="s">
        <v>49</v>
      </c>
      <c r="JM32" s="1">
        <v>60825.9</v>
      </c>
      <c r="JN32" s="1">
        <v>6336724.7000000002</v>
      </c>
      <c r="JO32" s="1">
        <v>9.5989494383431004E-3</v>
      </c>
      <c r="JP32" s="1"/>
      <c r="JQ32" s="22">
        <v>4669</v>
      </c>
      <c r="JR32" s="1" t="s">
        <v>38</v>
      </c>
      <c r="JS32" s="1">
        <v>2018</v>
      </c>
      <c r="JT32" s="1" t="s">
        <v>49</v>
      </c>
      <c r="JU32" s="1">
        <v>46485.8</v>
      </c>
      <c r="JV32" s="1">
        <v>6390706</v>
      </c>
      <c r="JW32" s="1">
        <v>7.2739694174633997E-3</v>
      </c>
      <c r="JX32" s="1"/>
      <c r="JY32" s="22">
        <v>5865</v>
      </c>
      <c r="JZ32" s="1" t="s">
        <v>31</v>
      </c>
      <c r="KA32" s="1">
        <v>2018</v>
      </c>
      <c r="KB32" s="1" t="s">
        <v>49</v>
      </c>
      <c r="KC32" s="1">
        <v>86841.3</v>
      </c>
      <c r="KD32" s="1">
        <v>9443218.3000000007</v>
      </c>
      <c r="KE32" s="1">
        <v>9.1961550862378998E-3</v>
      </c>
      <c r="KF32" s="1"/>
      <c r="KG32" s="22">
        <v>7061</v>
      </c>
      <c r="KH32" s="1" t="s">
        <v>51</v>
      </c>
      <c r="KI32" s="1">
        <v>2018</v>
      </c>
      <c r="KJ32" s="1" t="s">
        <v>49</v>
      </c>
      <c r="KK32" s="1">
        <v>51390.9</v>
      </c>
      <c r="KL32" s="1">
        <v>4803387.8</v>
      </c>
      <c r="KM32" s="1">
        <v>1.06988863151961E-2</v>
      </c>
      <c r="KN32" s="1"/>
      <c r="KO32" s="22">
        <v>8257</v>
      </c>
      <c r="KP32" s="1" t="s">
        <v>57</v>
      </c>
      <c r="KQ32" s="1">
        <v>2018</v>
      </c>
      <c r="KR32" s="1" t="s">
        <v>49</v>
      </c>
      <c r="KS32" s="1">
        <v>103802.7</v>
      </c>
      <c r="KT32" s="1">
        <v>11172914.4</v>
      </c>
      <c r="KU32" s="1">
        <v>9.2905661212261004E-3</v>
      </c>
      <c r="KV32" s="1"/>
      <c r="KW32" s="22">
        <v>1127</v>
      </c>
      <c r="KX32" s="1" t="s">
        <v>17</v>
      </c>
      <c r="KY32" s="1">
        <v>2019</v>
      </c>
      <c r="KZ32" s="1" t="s">
        <v>49</v>
      </c>
      <c r="LA32" s="1">
        <v>15421.1</v>
      </c>
      <c r="LB32" s="1">
        <v>3955328</v>
      </c>
      <c r="LC32" s="1">
        <v>3.8988169881233E-3</v>
      </c>
      <c r="LD32" s="1"/>
      <c r="LE32" s="22">
        <v>2323</v>
      </c>
      <c r="LF32" s="1" t="s">
        <v>61</v>
      </c>
      <c r="LG32" s="1">
        <v>2019</v>
      </c>
      <c r="LH32" s="1" t="s">
        <v>49</v>
      </c>
      <c r="LI32" s="1">
        <v>126519.8</v>
      </c>
      <c r="LJ32" s="1">
        <v>48356774.5</v>
      </c>
      <c r="LK32" s="1">
        <v>2.6163821162224002E-3</v>
      </c>
      <c r="LL32" s="1"/>
      <c r="LM32" s="22">
        <v>3519</v>
      </c>
      <c r="LN32" s="1" t="s">
        <v>44</v>
      </c>
      <c r="LO32" s="1">
        <v>2019</v>
      </c>
      <c r="LP32" s="1" t="s">
        <v>49</v>
      </c>
      <c r="LQ32" s="1">
        <v>58893.599999999999</v>
      </c>
      <c r="LR32" s="1">
        <v>6269787.0999999996</v>
      </c>
      <c r="LS32" s="1">
        <v>9.3932376108911003E-3</v>
      </c>
      <c r="LT32" s="1"/>
      <c r="LU32" s="22">
        <v>4715</v>
      </c>
      <c r="LV32" s="1" t="s">
        <v>38</v>
      </c>
      <c r="LW32" s="1">
        <v>2019</v>
      </c>
      <c r="LX32" s="1" t="s">
        <v>49</v>
      </c>
      <c r="LY32" s="1">
        <v>44312</v>
      </c>
      <c r="LZ32" s="1">
        <v>6182094.5</v>
      </c>
      <c r="MA32" s="1">
        <v>7.1677972570623003E-3</v>
      </c>
      <c r="MB32" s="1"/>
      <c r="MC32" s="22">
        <v>5911</v>
      </c>
      <c r="MD32" s="1" t="s">
        <v>31</v>
      </c>
      <c r="ME32" s="1">
        <v>2019</v>
      </c>
      <c r="MF32" s="1" t="s">
        <v>49</v>
      </c>
      <c r="MG32" s="1">
        <v>84926</v>
      </c>
      <c r="MH32" s="1">
        <v>9237079</v>
      </c>
      <c r="MI32" s="1">
        <v>9.1940320094696E-3</v>
      </c>
      <c r="MJ32" s="1"/>
      <c r="MK32" s="22">
        <v>7107</v>
      </c>
      <c r="ML32" s="1" t="s">
        <v>51</v>
      </c>
      <c r="MM32" s="1">
        <v>2019</v>
      </c>
      <c r="MN32" s="1" t="s">
        <v>49</v>
      </c>
      <c r="MO32" s="1">
        <v>50032.1</v>
      </c>
      <c r="MP32" s="1">
        <v>4608662</v>
      </c>
      <c r="MQ32" s="1">
        <v>1.08561009681334E-2</v>
      </c>
      <c r="MR32" s="1"/>
      <c r="MS32" s="22">
        <v>8303</v>
      </c>
      <c r="MT32" s="1" t="s">
        <v>57</v>
      </c>
      <c r="MU32" s="1">
        <v>2019</v>
      </c>
      <c r="MV32" s="1" t="s">
        <v>49</v>
      </c>
      <c r="MW32" s="1">
        <v>107136.4</v>
      </c>
      <c r="MX32" s="1">
        <v>11338077</v>
      </c>
      <c r="MY32" s="1">
        <v>9.4492566949404E-3</v>
      </c>
      <c r="MZ32" s="1"/>
      <c r="NA32" s="22">
        <v>1173</v>
      </c>
      <c r="NB32" s="1" t="s">
        <v>17</v>
      </c>
      <c r="NC32" s="1">
        <v>2020</v>
      </c>
      <c r="ND32" s="1" t="s">
        <v>49</v>
      </c>
      <c r="NE32" s="1">
        <v>15444.5</v>
      </c>
      <c r="NF32" s="1">
        <v>3784752.3</v>
      </c>
      <c r="NG32" s="1">
        <v>4.0807161937651002E-3</v>
      </c>
      <c r="NH32" s="1"/>
      <c r="NI32" s="22">
        <v>2369</v>
      </c>
      <c r="NJ32" s="1" t="s">
        <v>61</v>
      </c>
      <c r="NK32" s="1">
        <v>2020</v>
      </c>
      <c r="NL32" s="1" t="s">
        <v>49</v>
      </c>
      <c r="NM32" s="1">
        <v>126922.4</v>
      </c>
      <c r="NN32" s="1">
        <v>47421769.399999999</v>
      </c>
      <c r="NO32" s="1">
        <v>2.6764585464835E-3</v>
      </c>
      <c r="NP32" s="1"/>
      <c r="NQ32" s="22">
        <v>3565</v>
      </c>
      <c r="NR32" s="1" t="s">
        <v>44</v>
      </c>
      <c r="NS32" s="1">
        <v>2020</v>
      </c>
      <c r="NT32" s="1" t="s">
        <v>49</v>
      </c>
      <c r="NU32" s="1">
        <v>57339.7</v>
      </c>
      <c r="NV32" s="1">
        <v>5955345.3666666672</v>
      </c>
      <c r="NW32" s="1">
        <v>9.6282745113225997E-3</v>
      </c>
      <c r="NX32" s="1"/>
      <c r="NY32" s="22">
        <v>4761</v>
      </c>
      <c r="NZ32" s="1" t="s">
        <v>38</v>
      </c>
      <c r="OA32" s="1">
        <v>2020</v>
      </c>
      <c r="OB32" s="1" t="s">
        <v>49</v>
      </c>
      <c r="OC32" s="1">
        <v>45388.2</v>
      </c>
      <c r="OD32" s="1">
        <v>5990228.4000000004</v>
      </c>
      <c r="OE32" s="1">
        <v>7.5770399672906996E-3</v>
      </c>
      <c r="OF32" s="1"/>
      <c r="OG32" s="22">
        <v>5957</v>
      </c>
      <c r="OH32" s="1" t="s">
        <v>31</v>
      </c>
      <c r="OI32" s="1">
        <v>2020</v>
      </c>
      <c r="OJ32" s="1" t="s">
        <v>49</v>
      </c>
      <c r="OK32" s="1">
        <v>88358.8</v>
      </c>
      <c r="OL32" s="1">
        <v>9257180.0999999996</v>
      </c>
      <c r="OM32" s="1">
        <v>9.5448936982439996E-3</v>
      </c>
      <c r="ON32" s="1"/>
      <c r="OO32" s="22">
        <v>7153</v>
      </c>
      <c r="OP32" s="1" t="s">
        <v>51</v>
      </c>
      <c r="OQ32" s="1">
        <v>2020</v>
      </c>
      <c r="OR32" s="1" t="s">
        <v>49</v>
      </c>
      <c r="OS32" s="1">
        <v>51118.3</v>
      </c>
      <c r="OT32" s="1">
        <v>4352046.4000000004</v>
      </c>
      <c r="OU32" s="1">
        <v>1.1745807673373999E-2</v>
      </c>
      <c r="OV32" s="1"/>
      <c r="OW32" s="22">
        <v>8349</v>
      </c>
      <c r="OX32" s="1" t="s">
        <v>57</v>
      </c>
      <c r="OY32" s="1">
        <v>2020</v>
      </c>
      <c r="OZ32" s="1" t="s">
        <v>49</v>
      </c>
      <c r="PA32" s="1">
        <v>109112.5</v>
      </c>
      <c r="PB32" s="1">
        <v>11082248.733333331</v>
      </c>
      <c r="PC32" s="1">
        <v>9.8457003290143997E-3</v>
      </c>
      <c r="PD32" s="1"/>
      <c r="PE32" s="22">
        <v>8395</v>
      </c>
      <c r="PF32" s="1" t="s">
        <v>17</v>
      </c>
      <c r="PG32" s="1">
        <v>2021</v>
      </c>
      <c r="PH32" s="1" t="s">
        <v>49</v>
      </c>
      <c r="PI32" s="1">
        <v>18865.147800299219</v>
      </c>
      <c r="PJ32" s="1">
        <v>4622999.2247741111</v>
      </c>
      <c r="PK32" s="1">
        <v>4.0807161937651002E-3</v>
      </c>
      <c r="PL32" s="1"/>
      <c r="PM32" s="22">
        <v>9315</v>
      </c>
      <c r="PN32" s="1" t="s">
        <v>61</v>
      </c>
      <c r="PO32" s="1">
        <v>2021</v>
      </c>
      <c r="PP32" s="1" t="s">
        <v>49</v>
      </c>
      <c r="PQ32" s="1">
        <v>140753.98817463589</v>
      </c>
      <c r="PR32" s="1">
        <v>52589638.782026872</v>
      </c>
      <c r="PS32" s="1">
        <v>2.6764585464835E-3</v>
      </c>
      <c r="PT32" s="1"/>
      <c r="PU32" s="22">
        <v>10235</v>
      </c>
      <c r="PV32" s="1" t="s">
        <v>44</v>
      </c>
      <c r="PW32" s="1">
        <v>2021</v>
      </c>
      <c r="PX32" s="1" t="s">
        <v>49</v>
      </c>
      <c r="PY32" s="1">
        <v>66834.159925540604</v>
      </c>
      <c r="PZ32" s="1">
        <v>6941447.2808129201</v>
      </c>
      <c r="QA32" s="1">
        <v>9.6282745113225997E-3</v>
      </c>
      <c r="QB32" s="1"/>
      <c r="QC32" s="22">
        <v>11155</v>
      </c>
      <c r="QD32" s="1" t="s">
        <v>38</v>
      </c>
      <c r="QE32" s="1">
        <v>2021</v>
      </c>
      <c r="QF32" s="1" t="s">
        <v>49</v>
      </c>
      <c r="QG32" s="1">
        <v>50847.612333407407</v>
      </c>
      <c r="QH32" s="1">
        <v>6710748.8614170318</v>
      </c>
      <c r="QI32" s="1">
        <v>7.5770399672906996E-3</v>
      </c>
      <c r="QJ32" s="1"/>
      <c r="QK32" s="22">
        <v>12075</v>
      </c>
      <c r="QL32" s="1" t="s">
        <v>31</v>
      </c>
      <c r="QM32" s="1">
        <v>2021</v>
      </c>
      <c r="QN32" s="1" t="s">
        <v>49</v>
      </c>
      <c r="QO32" s="1">
        <v>97511.908216459036</v>
      </c>
      <c r="QP32" s="1">
        <v>10216133.49495957</v>
      </c>
      <c r="QQ32" s="1">
        <v>9.5448936982439996E-3</v>
      </c>
      <c r="QR32" s="1"/>
      <c r="QS32" s="22">
        <v>12995</v>
      </c>
      <c r="QT32" s="1" t="s">
        <v>51</v>
      </c>
      <c r="QU32" s="1">
        <v>2021</v>
      </c>
      <c r="QV32" s="1" t="s">
        <v>49</v>
      </c>
      <c r="QW32" s="1">
        <v>58400.355727451577</v>
      </c>
      <c r="QX32" s="1">
        <v>4972017.0252605537</v>
      </c>
      <c r="QY32" s="1">
        <v>1.1745807673373999E-2</v>
      </c>
      <c r="QZ32" s="1"/>
      <c r="RA32" s="22">
        <v>13915</v>
      </c>
      <c r="RB32" s="1" t="s">
        <v>57</v>
      </c>
      <c r="RC32" s="1">
        <v>2021</v>
      </c>
      <c r="RD32" s="1" t="s">
        <v>49</v>
      </c>
      <c r="RE32" s="1">
        <v>108790.3915804485</v>
      </c>
      <c r="RF32" s="1">
        <v>11049533.09007922</v>
      </c>
      <c r="RG32" s="1">
        <v>9.8457003290143997E-3</v>
      </c>
      <c r="RH32" s="1"/>
      <c r="RI32" s="22">
        <v>8441</v>
      </c>
      <c r="RJ32" s="1" t="s">
        <v>17</v>
      </c>
      <c r="RK32" s="1">
        <v>2022</v>
      </c>
      <c r="RL32" s="1" t="s">
        <v>49</v>
      </c>
      <c r="RM32" s="1">
        <v>20432.563807619441</v>
      </c>
      <c r="RN32" s="1">
        <v>5007102.3902221443</v>
      </c>
      <c r="RO32" s="1">
        <v>4.0807161937651002E-3</v>
      </c>
      <c r="RP32" s="1"/>
      <c r="RQ32" s="22">
        <v>9361</v>
      </c>
      <c r="RR32" s="1" t="s">
        <v>61</v>
      </c>
      <c r="RS32" s="1">
        <v>2022</v>
      </c>
      <c r="RT32" s="1" t="s">
        <v>49</v>
      </c>
      <c r="RU32" s="1">
        <v>154577.2551669231</v>
      </c>
      <c r="RV32" s="1">
        <v>57754399.13688051</v>
      </c>
      <c r="RW32" s="1">
        <v>2.6764585464835E-3</v>
      </c>
      <c r="RX32" s="1"/>
      <c r="RY32" s="22">
        <v>10281</v>
      </c>
      <c r="RZ32" s="1" t="s">
        <v>44</v>
      </c>
      <c r="SA32" s="1">
        <v>2022</v>
      </c>
      <c r="SB32" s="1" t="s">
        <v>49</v>
      </c>
      <c r="SC32" s="1">
        <v>66211.600274401106</v>
      </c>
      <c r="SD32" s="1">
        <v>6876787.7563667288</v>
      </c>
      <c r="SE32" s="1">
        <v>9.6282745113225997E-3</v>
      </c>
      <c r="SF32" s="1"/>
      <c r="SG32" s="22">
        <v>11201</v>
      </c>
      <c r="SH32" s="1" t="s">
        <v>38</v>
      </c>
      <c r="SI32" s="1">
        <v>2022</v>
      </c>
      <c r="SJ32" s="1" t="s">
        <v>49</v>
      </c>
      <c r="SK32" s="1">
        <v>47931.411955753938</v>
      </c>
      <c r="SL32" s="1">
        <v>6325875.5612572851</v>
      </c>
      <c r="SM32" s="1">
        <v>7.5770399672906996E-3</v>
      </c>
      <c r="SN32" s="1"/>
      <c r="SO32" s="22">
        <v>12121</v>
      </c>
      <c r="SP32" s="1" t="s">
        <v>31</v>
      </c>
      <c r="SQ32" s="1">
        <v>2022</v>
      </c>
      <c r="SR32" s="1" t="s">
        <v>49</v>
      </c>
      <c r="SS32" s="1">
        <v>93369.956316272757</v>
      </c>
      <c r="ST32" s="1">
        <v>9782189.227885304</v>
      </c>
      <c r="SU32" s="1">
        <v>9.5448936982439996E-3</v>
      </c>
      <c r="SV32" s="1"/>
      <c r="SW32" s="22">
        <v>13041</v>
      </c>
      <c r="SX32" s="1" t="s">
        <v>51</v>
      </c>
      <c r="SY32" s="1">
        <v>2022</v>
      </c>
      <c r="SZ32" s="1" t="s">
        <v>49</v>
      </c>
      <c r="TA32" s="1">
        <v>56386.688972361088</v>
      </c>
      <c r="TB32" s="1">
        <v>4800579.963537232</v>
      </c>
      <c r="TC32" s="1">
        <v>1.1745807673373999E-2</v>
      </c>
      <c r="TD32" s="1"/>
      <c r="TE32" s="22">
        <v>13961</v>
      </c>
      <c r="TF32" s="1" t="s">
        <v>57</v>
      </c>
      <c r="TG32" s="1">
        <v>2022</v>
      </c>
      <c r="TH32" s="1" t="s">
        <v>49</v>
      </c>
      <c r="TI32" s="1">
        <v>92022.403083059326</v>
      </c>
      <c r="TJ32" s="1">
        <v>9346455.8140041605</v>
      </c>
      <c r="TK32" s="1">
        <v>9.8457003290143997E-3</v>
      </c>
      <c r="TL32" s="1"/>
      <c r="TM32" s="22">
        <v>8487</v>
      </c>
      <c r="TN32" s="1" t="s">
        <v>17</v>
      </c>
      <c r="TO32" s="1">
        <v>2023</v>
      </c>
      <c r="TP32" s="1" t="s">
        <v>49</v>
      </c>
      <c r="TQ32" s="1">
        <v>20273.33157977349</v>
      </c>
      <c r="TR32" s="1">
        <v>4968081.7329930915</v>
      </c>
      <c r="TS32" s="1">
        <v>4.0807161937651002E-3</v>
      </c>
      <c r="TT32" s="1"/>
      <c r="TU32" s="22">
        <v>9407</v>
      </c>
      <c r="TV32" s="1" t="s">
        <v>61</v>
      </c>
      <c r="TW32" s="1">
        <v>2023</v>
      </c>
      <c r="TX32" s="1" t="s">
        <v>49</v>
      </c>
      <c r="TY32" s="1">
        <v>164763.5711025045</v>
      </c>
      <c r="TZ32" s="1">
        <v>61560292.543660469</v>
      </c>
      <c r="UA32" s="1">
        <v>2.6764585464835E-3</v>
      </c>
      <c r="UB32" s="1"/>
      <c r="UC32" s="22">
        <v>10327</v>
      </c>
      <c r="UD32" s="1" t="s">
        <v>44</v>
      </c>
      <c r="UE32" s="1">
        <v>2023</v>
      </c>
      <c r="UF32" s="1" t="s">
        <v>49</v>
      </c>
      <c r="UG32" s="1">
        <v>71650.917554268191</v>
      </c>
      <c r="UH32" s="1">
        <v>7441719.4347760417</v>
      </c>
      <c r="UI32" s="1">
        <v>9.6282745113225997E-3</v>
      </c>
      <c r="UJ32" s="1"/>
      <c r="UK32" s="22">
        <v>11247</v>
      </c>
      <c r="UL32" s="1" t="s">
        <v>38</v>
      </c>
      <c r="UM32" s="1">
        <v>2023</v>
      </c>
      <c r="UN32" s="1" t="s">
        <v>49</v>
      </c>
      <c r="UO32" s="1">
        <v>52311.454761266141</v>
      </c>
      <c r="UP32" s="1">
        <v>6903943.3587640161</v>
      </c>
      <c r="UQ32" s="1">
        <v>7.5770399672906996E-3</v>
      </c>
      <c r="UR32" s="1"/>
      <c r="US32" s="22">
        <v>12167</v>
      </c>
      <c r="UT32" s="1" t="s">
        <v>31</v>
      </c>
      <c r="UU32" s="1">
        <v>2023</v>
      </c>
      <c r="UV32" s="1" t="s">
        <v>49</v>
      </c>
      <c r="UW32" s="1">
        <v>101490.1554665568</v>
      </c>
      <c r="UX32" s="1">
        <v>10632926.743356841</v>
      </c>
      <c r="UY32" s="1">
        <v>9.5448936982439996E-3</v>
      </c>
      <c r="UZ32" s="1"/>
      <c r="VA32" s="22">
        <v>13087</v>
      </c>
      <c r="VB32" s="1" t="s">
        <v>51</v>
      </c>
      <c r="VC32" s="1">
        <v>2023</v>
      </c>
      <c r="VD32" s="1" t="s">
        <v>49</v>
      </c>
      <c r="VE32" s="1">
        <v>61760.933463522168</v>
      </c>
      <c r="VF32" s="1">
        <v>5258125.7228930313</v>
      </c>
      <c r="VG32" s="1">
        <v>1.1745807673373999E-2</v>
      </c>
      <c r="VH32" s="1"/>
      <c r="VI32" s="22">
        <v>14007</v>
      </c>
      <c r="VJ32" s="1" t="s">
        <v>57</v>
      </c>
      <c r="VK32" s="1">
        <v>2023</v>
      </c>
      <c r="VL32" s="1" t="s">
        <v>49</v>
      </c>
      <c r="VM32" s="1">
        <v>90958.279490588277</v>
      </c>
      <c r="VN32" s="1">
        <v>9238375.7834414635</v>
      </c>
      <c r="VO32" s="1">
        <v>9.8457003290143997E-3</v>
      </c>
      <c r="VP32" s="1"/>
      <c r="VQ32" s="22">
        <v>8533</v>
      </c>
      <c r="VR32" s="1" t="s">
        <v>17</v>
      </c>
      <c r="VS32" s="1">
        <v>2024</v>
      </c>
      <c r="VT32" s="1" t="s">
        <v>49</v>
      </c>
      <c r="VU32" s="1">
        <v>20906.809060325271</v>
      </c>
      <c r="VV32" s="1">
        <v>5123318.5714479852</v>
      </c>
      <c r="VW32" s="1">
        <v>4.0807161937651002E-3</v>
      </c>
      <c r="VX32" s="1"/>
      <c r="VY32" s="22">
        <v>9453</v>
      </c>
      <c r="VZ32" s="1" t="s">
        <v>61</v>
      </c>
      <c r="WA32" s="1">
        <v>2024</v>
      </c>
      <c r="WB32" s="1" t="s">
        <v>49</v>
      </c>
      <c r="WC32" s="1">
        <v>173466.33909928269</v>
      </c>
      <c r="WD32" s="1">
        <v>64811890.820126347</v>
      </c>
      <c r="WE32" s="1">
        <v>2.6764585464835E-3</v>
      </c>
      <c r="WF32" s="1"/>
      <c r="WG32" s="22">
        <v>10373</v>
      </c>
      <c r="WH32" s="1" t="s">
        <v>44</v>
      </c>
      <c r="WI32" s="1">
        <v>2024</v>
      </c>
      <c r="WJ32" s="1" t="s">
        <v>49</v>
      </c>
      <c r="WK32" s="1">
        <v>77476.145273622358</v>
      </c>
      <c r="WL32" s="1">
        <v>8046732.0684004631</v>
      </c>
      <c r="WM32" s="1">
        <v>9.6282745113225997E-3</v>
      </c>
      <c r="WN32" s="1"/>
      <c r="WO32" s="22">
        <v>11293</v>
      </c>
      <c r="WP32" s="1" t="s">
        <v>38</v>
      </c>
      <c r="WQ32" s="1">
        <v>2024</v>
      </c>
      <c r="WR32" s="1" t="s">
        <v>49</v>
      </c>
      <c r="WS32" s="1">
        <v>54201.251338214926</v>
      </c>
      <c r="WT32" s="1">
        <v>7153354.2877160665</v>
      </c>
      <c r="WU32" s="1">
        <v>7.5770399672906996E-3</v>
      </c>
      <c r="WV32" s="1"/>
      <c r="WW32" s="22">
        <v>12213</v>
      </c>
      <c r="WX32" s="1" t="s">
        <v>31</v>
      </c>
      <c r="WY32" s="1">
        <v>2024</v>
      </c>
      <c r="WZ32" s="1" t="s">
        <v>49</v>
      </c>
      <c r="XA32" s="1">
        <v>104500.3027516786</v>
      </c>
      <c r="XB32" s="1">
        <v>10948294.03609846</v>
      </c>
      <c r="XC32" s="1">
        <v>9.5448936982439996E-3</v>
      </c>
      <c r="XD32" s="1"/>
      <c r="XE32" s="22">
        <v>13133</v>
      </c>
      <c r="XF32" s="1" t="s">
        <v>51</v>
      </c>
      <c r="XG32" s="1">
        <v>2024</v>
      </c>
      <c r="XH32" s="1" t="s">
        <v>49</v>
      </c>
      <c r="XI32" s="1">
        <v>63587.544137290701</v>
      </c>
      <c r="XJ32" s="1">
        <v>5413637.436055948</v>
      </c>
      <c r="XK32" s="1">
        <v>1.1745807673373999E-2</v>
      </c>
      <c r="XL32" s="1"/>
      <c r="XM32" s="22">
        <v>14053</v>
      </c>
      <c r="XN32" s="1" t="s">
        <v>57</v>
      </c>
      <c r="XO32" s="1">
        <v>2024</v>
      </c>
      <c r="XP32" s="1" t="s">
        <v>49</v>
      </c>
      <c r="XQ32" s="1">
        <v>86921.993289566177</v>
      </c>
      <c r="XR32" s="1">
        <v>8828421.583522588</v>
      </c>
      <c r="XS32" s="1">
        <v>9.8457003290143997E-3</v>
      </c>
      <c r="XT32" s="1"/>
    </row>
    <row r="33" spans="1:644" x14ac:dyDescent="0.25">
      <c r="A33" s="2">
        <v>24</v>
      </c>
      <c r="B33" s="1" t="s">
        <v>17</v>
      </c>
      <c r="C33" s="1" t="s">
        <v>50</v>
      </c>
      <c r="D33" s="1">
        <v>7.6116704803924726E-2</v>
      </c>
      <c r="E33" s="1">
        <v>7.3309617770222879E-2</v>
      </c>
      <c r="F33" s="1">
        <v>6.9812268670704877E-2</v>
      </c>
      <c r="G33" s="1">
        <v>6.9220674426985471E-2</v>
      </c>
      <c r="H33" s="1">
        <v>6.8727672244623644E-2</v>
      </c>
      <c r="I33" s="1">
        <v>6.7819710527167412E-2</v>
      </c>
      <c r="J33" s="1">
        <v>7.0512064950723471E-2</v>
      </c>
      <c r="K33" s="1">
        <v>7.0512064950723541E-2</v>
      </c>
      <c r="L33" s="1">
        <v>7.0512064950723555E-2</v>
      </c>
      <c r="M33" s="1">
        <v>7.0512064950723541E-2</v>
      </c>
      <c r="N33" s="1">
        <v>7.0512064950723555E-2</v>
      </c>
      <c r="O33" s="1">
        <v>7.0687906654295155E-2</v>
      </c>
      <c r="P33" s="1"/>
      <c r="Q33" s="2">
        <v>200</v>
      </c>
      <c r="R33" s="1" t="s">
        <v>51</v>
      </c>
      <c r="S33" s="16" t="s">
        <v>19</v>
      </c>
      <c r="T33" s="16">
        <v>5.7610793323746743E-3</v>
      </c>
      <c r="U33" s="1"/>
      <c r="AC33" s="22">
        <v>898</v>
      </c>
      <c r="AD33" s="1" t="s">
        <v>17</v>
      </c>
      <c r="AE33" s="1">
        <v>2014</v>
      </c>
      <c r="AF33" s="1" t="s">
        <v>50</v>
      </c>
      <c r="AG33" s="1">
        <v>311181.5</v>
      </c>
      <c r="AH33" s="1">
        <v>4088215.6</v>
      </c>
      <c r="AI33" s="1">
        <v>7.6116704803924698E-2</v>
      </c>
      <c r="AJ33" s="1"/>
      <c r="AK33" s="22">
        <v>2094</v>
      </c>
      <c r="AL33" s="1" t="s">
        <v>61</v>
      </c>
      <c r="AM33" s="1">
        <v>2014</v>
      </c>
      <c r="AN33" s="1" t="s">
        <v>50</v>
      </c>
      <c r="AO33" s="1">
        <v>1256585</v>
      </c>
      <c r="AP33" s="1">
        <v>40350049.200000003</v>
      </c>
      <c r="AQ33" s="1">
        <v>3.1142093378166098E-2</v>
      </c>
      <c r="AR33" s="1"/>
      <c r="AS33" s="22">
        <v>3290</v>
      </c>
      <c r="AT33" s="1" t="s">
        <v>44</v>
      </c>
      <c r="AU33" s="1">
        <v>2014</v>
      </c>
      <c r="AV33" s="1" t="s">
        <v>50</v>
      </c>
      <c r="AW33" s="1">
        <v>411373</v>
      </c>
      <c r="AX33" s="1">
        <v>6735816.8000000007</v>
      </c>
      <c r="AY33" s="1">
        <v>6.1072474536421402E-2</v>
      </c>
      <c r="AZ33" s="1"/>
      <c r="BA33" s="22">
        <v>4486</v>
      </c>
      <c r="BB33" s="1" t="s">
        <v>38</v>
      </c>
      <c r="BC33" s="1">
        <v>2014</v>
      </c>
      <c r="BD33" s="1" t="s">
        <v>50</v>
      </c>
      <c r="BE33" s="1">
        <v>368377.8</v>
      </c>
      <c r="BF33" s="1">
        <v>6538596.7000000002</v>
      </c>
      <c r="BG33" s="1">
        <v>5.6338969491725899E-2</v>
      </c>
      <c r="BH33" s="1"/>
      <c r="BI33" s="22">
        <v>5682</v>
      </c>
      <c r="BJ33" s="1" t="s">
        <v>31</v>
      </c>
      <c r="BK33" s="1">
        <v>2014</v>
      </c>
      <c r="BL33" s="1" t="s">
        <v>50</v>
      </c>
      <c r="BM33" s="1">
        <v>371494.2</v>
      </c>
      <c r="BN33" s="1">
        <v>9155477.5</v>
      </c>
      <c r="BO33" s="1">
        <v>4.0576168747069701E-2</v>
      </c>
      <c r="BP33" s="1"/>
      <c r="BQ33" s="22">
        <v>6878</v>
      </c>
      <c r="BR33" s="1" t="s">
        <v>51</v>
      </c>
      <c r="BS33" s="1">
        <v>2014</v>
      </c>
      <c r="BT33" s="1" t="s">
        <v>50</v>
      </c>
      <c r="BU33" s="1">
        <v>255194.3</v>
      </c>
      <c r="BV33" s="1">
        <v>4981875.5</v>
      </c>
      <c r="BW33" s="1">
        <v>5.1224543848998202E-2</v>
      </c>
      <c r="BX33" s="1"/>
      <c r="BY33" s="22">
        <v>8074</v>
      </c>
      <c r="BZ33" s="1" t="s">
        <v>57</v>
      </c>
      <c r="CA33" s="1">
        <v>2014</v>
      </c>
      <c r="CB33" s="1" t="s">
        <v>50</v>
      </c>
      <c r="CC33" s="1">
        <v>528868.6</v>
      </c>
      <c r="CD33" s="1">
        <v>11026913.800000001</v>
      </c>
      <c r="CE33" s="1">
        <v>4.7961615515666703E-2</v>
      </c>
      <c r="CF33" s="1"/>
      <c r="CG33" s="22">
        <v>944</v>
      </c>
      <c r="CH33" s="1" t="s">
        <v>17</v>
      </c>
      <c r="CI33" s="1">
        <v>2015</v>
      </c>
      <c r="CJ33" s="1" t="s">
        <v>50</v>
      </c>
      <c r="CK33" s="1">
        <v>260625.5</v>
      </c>
      <c r="CL33" s="1">
        <v>3555133.8</v>
      </c>
      <c r="CM33" s="1">
        <v>7.3309617770222796E-2</v>
      </c>
      <c r="CN33" s="1"/>
      <c r="CO33" s="22">
        <v>2140</v>
      </c>
      <c r="CP33" s="1" t="s">
        <v>61</v>
      </c>
      <c r="CQ33" s="1">
        <v>2015</v>
      </c>
      <c r="CR33" s="1" t="s">
        <v>50</v>
      </c>
      <c r="CS33" s="1">
        <v>1383295.5</v>
      </c>
      <c r="CT33" s="1">
        <v>41208556.399999999</v>
      </c>
      <c r="CU33" s="1">
        <v>3.3568162072282602E-2</v>
      </c>
      <c r="CV33" s="1"/>
      <c r="CW33" s="22">
        <v>3336</v>
      </c>
      <c r="CX33" s="1" t="s">
        <v>44</v>
      </c>
      <c r="CY33" s="1">
        <v>2015</v>
      </c>
      <c r="CZ33" s="1" t="s">
        <v>50</v>
      </c>
      <c r="DA33" s="1">
        <v>413136.1</v>
      </c>
      <c r="DB33" s="1">
        <v>6404349.4000000004</v>
      </c>
      <c r="DC33" s="1">
        <v>6.4508675932015799E-2</v>
      </c>
      <c r="DD33" s="1"/>
      <c r="DE33" s="22">
        <v>4532</v>
      </c>
      <c r="DF33" s="1" t="s">
        <v>38</v>
      </c>
      <c r="DG33" s="1">
        <v>2015</v>
      </c>
      <c r="DH33" s="1" t="s">
        <v>50</v>
      </c>
      <c r="DI33" s="1">
        <v>300499.3</v>
      </c>
      <c r="DJ33" s="1">
        <v>5531517.5999999996</v>
      </c>
      <c r="DK33" s="1">
        <v>5.4324928840504799E-2</v>
      </c>
      <c r="DL33" s="1"/>
      <c r="DM33" s="22">
        <v>5728</v>
      </c>
      <c r="DN33" s="1" t="s">
        <v>31</v>
      </c>
      <c r="DO33" s="1">
        <v>2015</v>
      </c>
      <c r="DP33" s="1" t="s">
        <v>50</v>
      </c>
      <c r="DQ33" s="1">
        <v>315065.2</v>
      </c>
      <c r="DR33" s="1">
        <v>7894528</v>
      </c>
      <c r="DS33" s="1">
        <v>3.99093144010636E-2</v>
      </c>
      <c r="DT33" s="1"/>
      <c r="DU33" s="22">
        <v>6924</v>
      </c>
      <c r="DV33" s="1" t="s">
        <v>51</v>
      </c>
      <c r="DW33" s="1">
        <v>2015</v>
      </c>
      <c r="DX33" s="1" t="s">
        <v>50</v>
      </c>
      <c r="DY33" s="1">
        <v>207177.60000000001</v>
      </c>
      <c r="DZ33" s="1">
        <v>4209274.5999999996</v>
      </c>
      <c r="EA33" s="1">
        <v>4.9219312040131503E-2</v>
      </c>
      <c r="EB33" s="1"/>
      <c r="EC33" s="22">
        <v>8120</v>
      </c>
      <c r="ED33" s="1" t="s">
        <v>57</v>
      </c>
      <c r="EE33" s="1">
        <v>2015</v>
      </c>
      <c r="EF33" s="1" t="s">
        <v>50</v>
      </c>
      <c r="EG33" s="1">
        <v>471025.8</v>
      </c>
      <c r="EH33" s="1">
        <v>9729477.0999999996</v>
      </c>
      <c r="EI33" s="1">
        <v>4.8412242010415898E-2</v>
      </c>
      <c r="EJ33" s="1"/>
      <c r="EK33" s="22">
        <v>990</v>
      </c>
      <c r="EL33" s="1" t="s">
        <v>17</v>
      </c>
      <c r="EM33" s="1">
        <v>2016</v>
      </c>
      <c r="EN33" s="1" t="s">
        <v>50</v>
      </c>
      <c r="EO33" s="1">
        <v>241788.3</v>
      </c>
      <c r="EP33" s="1">
        <v>3463407</v>
      </c>
      <c r="EQ33" s="1">
        <v>6.9812268670704794E-2</v>
      </c>
      <c r="ER33" s="1"/>
      <c r="ES33" s="22">
        <v>2186</v>
      </c>
      <c r="ET33" s="1" t="s">
        <v>61</v>
      </c>
      <c r="EU33" s="1">
        <v>2016</v>
      </c>
      <c r="EV33" s="1" t="s">
        <v>50</v>
      </c>
      <c r="EW33" s="1">
        <v>1492455.8</v>
      </c>
      <c r="EX33" s="1">
        <v>42141395.200000003</v>
      </c>
      <c r="EY33" s="1">
        <v>3.5415433991136502E-2</v>
      </c>
      <c r="EZ33" s="1"/>
      <c r="FA33" s="22">
        <v>3382</v>
      </c>
      <c r="FB33" s="1" t="s">
        <v>44</v>
      </c>
      <c r="FC33" s="1">
        <v>2016</v>
      </c>
      <c r="FD33" s="1" t="s">
        <v>50</v>
      </c>
      <c r="FE33" s="1">
        <v>383101.6</v>
      </c>
      <c r="FF33" s="1">
        <v>5868597.7999999998</v>
      </c>
      <c r="FG33" s="1">
        <v>6.5279920869683705E-2</v>
      </c>
      <c r="FH33" s="1"/>
      <c r="FI33" s="22">
        <v>4578</v>
      </c>
      <c r="FJ33" s="1" t="s">
        <v>38</v>
      </c>
      <c r="FK33" s="1">
        <v>2016</v>
      </c>
      <c r="FL33" s="1" t="s">
        <v>50</v>
      </c>
      <c r="FM33" s="1">
        <v>301374.5</v>
      </c>
      <c r="FN33" s="1">
        <v>5582986.5</v>
      </c>
      <c r="FO33" s="1">
        <v>5.3980875647827498E-2</v>
      </c>
      <c r="FP33" s="1"/>
      <c r="FQ33" s="22">
        <v>5774</v>
      </c>
      <c r="FR33" s="1" t="s">
        <v>31</v>
      </c>
      <c r="FS33" s="1">
        <v>2016</v>
      </c>
      <c r="FT33" s="1" t="s">
        <v>50</v>
      </c>
      <c r="FU33" s="1">
        <v>330665.5</v>
      </c>
      <c r="FV33" s="1">
        <v>8130820.9000000004</v>
      </c>
      <c r="FW33" s="1">
        <v>4.0668156889299999E-2</v>
      </c>
      <c r="FX33" s="1"/>
      <c r="FY33" s="22">
        <v>6970</v>
      </c>
      <c r="FZ33" s="1" t="s">
        <v>51</v>
      </c>
      <c r="GA33" s="1">
        <v>2016</v>
      </c>
      <c r="GB33" s="1" t="s">
        <v>50</v>
      </c>
      <c r="GC33" s="1">
        <v>203912.2</v>
      </c>
      <c r="GD33" s="1">
        <v>4230502.5999999996</v>
      </c>
      <c r="GE33" s="1">
        <v>4.82004667719622E-2</v>
      </c>
      <c r="GF33" s="1"/>
      <c r="GG33" s="22">
        <v>8166</v>
      </c>
      <c r="GH33" s="1" t="s">
        <v>57</v>
      </c>
      <c r="GI33" s="1">
        <v>2016</v>
      </c>
      <c r="GJ33" s="1" t="s">
        <v>50</v>
      </c>
      <c r="GK33" s="1">
        <v>540998.9</v>
      </c>
      <c r="GL33" s="1">
        <v>10773649.5</v>
      </c>
      <c r="GM33" s="1">
        <v>5.0215008386897998E-2</v>
      </c>
      <c r="GN33" s="1"/>
      <c r="GO33" s="22">
        <v>1036</v>
      </c>
      <c r="GP33" s="1" t="s">
        <v>17</v>
      </c>
      <c r="GQ33" s="1">
        <v>2017</v>
      </c>
      <c r="GR33" s="1" t="s">
        <v>50</v>
      </c>
      <c r="GS33" s="1">
        <v>257482.6</v>
      </c>
      <c r="GT33" s="1">
        <v>3719735.5</v>
      </c>
      <c r="GU33" s="1">
        <v>6.9220674426985401E-2</v>
      </c>
      <c r="GV33" s="1"/>
      <c r="GW33" s="22">
        <v>2232</v>
      </c>
      <c r="GX33" s="1" t="s">
        <v>61</v>
      </c>
      <c r="GY33" s="1">
        <v>2017</v>
      </c>
      <c r="GZ33" s="1" t="s">
        <v>50</v>
      </c>
      <c r="HA33" s="1">
        <v>1566939.8</v>
      </c>
      <c r="HB33" s="1">
        <v>44107004.100000001</v>
      </c>
      <c r="HC33" s="1">
        <v>3.5525872409003602E-2</v>
      </c>
      <c r="HD33" s="1"/>
      <c r="HE33" s="22">
        <v>3428</v>
      </c>
      <c r="HF33" s="1" t="s">
        <v>44</v>
      </c>
      <c r="HG33" s="1">
        <v>2017</v>
      </c>
      <c r="HH33" s="1" t="s">
        <v>50</v>
      </c>
      <c r="HI33" s="1">
        <v>388912</v>
      </c>
      <c r="HJ33" s="1">
        <v>5855367.5</v>
      </c>
      <c r="HK33" s="1">
        <v>6.6419742227964304E-2</v>
      </c>
      <c r="HL33" s="1"/>
      <c r="HM33" s="22">
        <v>4624</v>
      </c>
      <c r="HN33" s="1" t="s">
        <v>38</v>
      </c>
      <c r="HO33" s="1">
        <v>2017</v>
      </c>
      <c r="HP33" s="1" t="s">
        <v>50</v>
      </c>
      <c r="HQ33" s="1">
        <v>321235.8</v>
      </c>
      <c r="HR33" s="1">
        <v>5923445.7000000002</v>
      </c>
      <c r="HS33" s="1">
        <v>5.4231239091125601E-2</v>
      </c>
      <c r="HT33" s="1"/>
      <c r="HU33" s="22">
        <v>5820</v>
      </c>
      <c r="HV33" s="1" t="s">
        <v>31</v>
      </c>
      <c r="HW33" s="1">
        <v>2017</v>
      </c>
      <c r="HX33" s="1" t="s">
        <v>50</v>
      </c>
      <c r="HY33" s="1">
        <v>352576.6</v>
      </c>
      <c r="HZ33" s="1">
        <v>8686095.3000000007</v>
      </c>
      <c r="IA33" s="1">
        <v>4.0590920065083698E-2</v>
      </c>
      <c r="IB33" s="1"/>
      <c r="IC33" s="22">
        <v>7016</v>
      </c>
      <c r="ID33" s="1" t="s">
        <v>51</v>
      </c>
      <c r="IE33" s="1">
        <v>2017</v>
      </c>
      <c r="IF33" s="1" t="s">
        <v>50</v>
      </c>
      <c r="IG33" s="1">
        <v>208131</v>
      </c>
      <c r="IH33" s="1">
        <v>4472691.8</v>
      </c>
      <c r="II33" s="1">
        <v>4.6533722712573201E-2</v>
      </c>
      <c r="IJ33" s="1"/>
      <c r="IK33" s="22">
        <v>8212</v>
      </c>
      <c r="IL33" s="1" t="s">
        <v>57</v>
      </c>
      <c r="IM33" s="1">
        <v>2017</v>
      </c>
      <c r="IN33" s="1" t="s">
        <v>50</v>
      </c>
      <c r="IO33" s="1">
        <v>542733.19999999995</v>
      </c>
      <c r="IP33" s="1">
        <v>10750260.5</v>
      </c>
      <c r="IQ33" s="1">
        <v>5.0485585907429797E-2</v>
      </c>
      <c r="IR33" s="1"/>
      <c r="IS33" s="22">
        <v>1082</v>
      </c>
      <c r="IT33" s="1" t="s">
        <v>17</v>
      </c>
      <c r="IU33" s="1">
        <v>2018</v>
      </c>
      <c r="IV33" s="1" t="s">
        <v>50</v>
      </c>
      <c r="IW33" s="1">
        <v>268324.2</v>
      </c>
      <c r="IX33" s="1">
        <v>3904165.4</v>
      </c>
      <c r="IY33" s="1">
        <v>6.8727672244623603E-2</v>
      </c>
      <c r="IZ33" s="1"/>
      <c r="JA33" s="22">
        <v>2278</v>
      </c>
      <c r="JB33" s="1" t="s">
        <v>61</v>
      </c>
      <c r="JC33" s="1">
        <v>2018</v>
      </c>
      <c r="JD33" s="1" t="s">
        <v>50</v>
      </c>
      <c r="JE33" s="1">
        <v>1643031.2</v>
      </c>
      <c r="JF33" s="1">
        <v>46669099.200000003</v>
      </c>
      <c r="JG33" s="1">
        <v>3.5205976291910003E-2</v>
      </c>
      <c r="JH33" s="1"/>
      <c r="JI33" s="22">
        <v>3474</v>
      </c>
      <c r="JJ33" s="1" t="s">
        <v>44</v>
      </c>
      <c r="JK33" s="1">
        <v>2018</v>
      </c>
      <c r="JL33" s="1" t="s">
        <v>50</v>
      </c>
      <c r="JM33" s="1">
        <v>436253.1</v>
      </c>
      <c r="JN33" s="1">
        <v>6336724.7000000002</v>
      </c>
      <c r="JO33" s="1">
        <v>6.8845203264077406E-2</v>
      </c>
      <c r="JP33" s="1"/>
      <c r="JQ33" s="22">
        <v>4670</v>
      </c>
      <c r="JR33" s="1" t="s">
        <v>38</v>
      </c>
      <c r="JS33" s="1">
        <v>2018</v>
      </c>
      <c r="JT33" s="1" t="s">
        <v>50</v>
      </c>
      <c r="JU33" s="1">
        <v>351318.6</v>
      </c>
      <c r="JV33" s="1">
        <v>6390706</v>
      </c>
      <c r="JW33" s="1">
        <v>5.49733628804078E-2</v>
      </c>
      <c r="JX33" s="1"/>
      <c r="JY33" s="22">
        <v>5866</v>
      </c>
      <c r="JZ33" s="1" t="s">
        <v>31</v>
      </c>
      <c r="KA33" s="1">
        <v>2018</v>
      </c>
      <c r="KB33" s="1" t="s">
        <v>50</v>
      </c>
      <c r="KC33" s="1">
        <v>401877.6</v>
      </c>
      <c r="KD33" s="1">
        <v>9443218.3000000007</v>
      </c>
      <c r="KE33" s="1">
        <v>4.2557270967674199E-2</v>
      </c>
      <c r="KF33" s="1"/>
      <c r="KG33" s="22">
        <v>7062</v>
      </c>
      <c r="KH33" s="1" t="s">
        <v>51</v>
      </c>
      <c r="KI33" s="1">
        <v>2018</v>
      </c>
      <c r="KJ33" s="1" t="s">
        <v>50</v>
      </c>
      <c r="KK33" s="1">
        <v>221167.4</v>
      </c>
      <c r="KL33" s="1">
        <v>4803387.8</v>
      </c>
      <c r="KM33" s="1">
        <v>4.6044044163995997E-2</v>
      </c>
      <c r="KN33" s="1"/>
      <c r="KO33" s="22">
        <v>8258</v>
      </c>
      <c r="KP33" s="1" t="s">
        <v>57</v>
      </c>
      <c r="KQ33" s="1">
        <v>2018</v>
      </c>
      <c r="KR33" s="1" t="s">
        <v>50</v>
      </c>
      <c r="KS33" s="1">
        <v>555444.19999999995</v>
      </c>
      <c r="KT33" s="1">
        <v>11172914.4</v>
      </c>
      <c r="KU33" s="1">
        <v>4.9713457036778097E-2</v>
      </c>
      <c r="KV33" s="1"/>
      <c r="KW33" s="22">
        <v>1128</v>
      </c>
      <c r="KX33" s="1" t="s">
        <v>17</v>
      </c>
      <c r="KY33" s="1">
        <v>2019</v>
      </c>
      <c r="KZ33" s="1" t="s">
        <v>50</v>
      </c>
      <c r="LA33" s="1">
        <v>268249.2</v>
      </c>
      <c r="LB33" s="1">
        <v>3955328</v>
      </c>
      <c r="LC33" s="1">
        <v>6.7819710527167398E-2</v>
      </c>
      <c r="LD33" s="1"/>
      <c r="LE33" s="22">
        <v>2324</v>
      </c>
      <c r="LF33" s="1" t="s">
        <v>61</v>
      </c>
      <c r="LG33" s="1">
        <v>2019</v>
      </c>
      <c r="LH33" s="1" t="s">
        <v>50</v>
      </c>
      <c r="LI33" s="1">
        <v>1717041.8</v>
      </c>
      <c r="LJ33" s="1">
        <v>48356774.5</v>
      </c>
      <c r="LK33" s="1">
        <v>3.5507781851744399E-2</v>
      </c>
      <c r="LL33" s="1"/>
      <c r="LM33" s="22">
        <v>3520</v>
      </c>
      <c r="LN33" s="1" t="s">
        <v>44</v>
      </c>
      <c r="LO33" s="1">
        <v>2019</v>
      </c>
      <c r="LP33" s="1" t="s">
        <v>50</v>
      </c>
      <c r="LQ33" s="1">
        <v>431317.5</v>
      </c>
      <c r="LR33" s="1">
        <v>6269787.0999999996</v>
      </c>
      <c r="LS33" s="1">
        <v>6.8793005746558694E-2</v>
      </c>
      <c r="LT33" s="1"/>
      <c r="LU33" s="22">
        <v>4716</v>
      </c>
      <c r="LV33" s="1" t="s">
        <v>38</v>
      </c>
      <c r="LW33" s="1">
        <v>2019</v>
      </c>
      <c r="LX33" s="1" t="s">
        <v>50</v>
      </c>
      <c r="LY33" s="1">
        <v>346301.5</v>
      </c>
      <c r="LZ33" s="1">
        <v>6182094.5</v>
      </c>
      <c r="MA33" s="1">
        <v>5.6016856423013198E-2</v>
      </c>
      <c r="MB33" s="1"/>
      <c r="MC33" s="22">
        <v>5912</v>
      </c>
      <c r="MD33" s="1" t="s">
        <v>31</v>
      </c>
      <c r="ME33" s="1">
        <v>2019</v>
      </c>
      <c r="MF33" s="1" t="s">
        <v>50</v>
      </c>
      <c r="MG33" s="1">
        <v>401991.6</v>
      </c>
      <c r="MH33" s="1">
        <v>9237079</v>
      </c>
      <c r="MI33" s="1">
        <v>4.3519341991120702E-2</v>
      </c>
      <c r="MJ33" s="1"/>
      <c r="MK33" s="22">
        <v>7108</v>
      </c>
      <c r="ML33" s="1" t="s">
        <v>51</v>
      </c>
      <c r="MM33" s="1">
        <v>2019</v>
      </c>
      <c r="MN33" s="1" t="s">
        <v>50</v>
      </c>
      <c r="MO33" s="1">
        <v>216240.8</v>
      </c>
      <c r="MP33" s="1">
        <v>4608662</v>
      </c>
      <c r="MQ33" s="1">
        <v>4.6920516193203102E-2</v>
      </c>
      <c r="MR33" s="1"/>
      <c r="MS33" s="22">
        <v>8304</v>
      </c>
      <c r="MT33" s="1" t="s">
        <v>57</v>
      </c>
      <c r="MU33" s="1">
        <v>2019</v>
      </c>
      <c r="MV33" s="1" t="s">
        <v>50</v>
      </c>
      <c r="MW33" s="1">
        <v>577510.5</v>
      </c>
      <c r="MX33" s="1">
        <v>11338077</v>
      </c>
      <c r="MY33" s="1">
        <v>5.0935489325041598E-2</v>
      </c>
      <c r="MZ33" s="1"/>
      <c r="NA33" s="22">
        <v>1174</v>
      </c>
      <c r="NB33" s="1" t="s">
        <v>17</v>
      </c>
      <c r="NC33" s="1">
        <v>2020</v>
      </c>
      <c r="ND33" s="1" t="s">
        <v>50</v>
      </c>
      <c r="NE33" s="1">
        <v>266870.7</v>
      </c>
      <c r="NF33" s="1">
        <v>3784752.3</v>
      </c>
      <c r="NG33" s="1">
        <v>7.0512064950723402E-2</v>
      </c>
      <c r="NH33" s="1"/>
      <c r="NI33" s="22">
        <v>2370</v>
      </c>
      <c r="NJ33" s="1" t="s">
        <v>61</v>
      </c>
      <c r="NK33" s="1">
        <v>2020</v>
      </c>
      <c r="NL33" s="1" t="s">
        <v>50</v>
      </c>
      <c r="NM33" s="1">
        <v>1787084</v>
      </c>
      <c r="NN33" s="1">
        <v>47421769.399999999</v>
      </c>
      <c r="NO33" s="1">
        <v>3.7684886553389502E-2</v>
      </c>
      <c r="NP33" s="1"/>
      <c r="NQ33" s="22">
        <v>3566</v>
      </c>
      <c r="NR33" s="1" t="s">
        <v>44</v>
      </c>
      <c r="NS33" s="1">
        <v>2020</v>
      </c>
      <c r="NT33" s="1" t="s">
        <v>50</v>
      </c>
      <c r="NU33" s="1">
        <v>378469.1</v>
      </c>
      <c r="NV33" s="1">
        <v>5955345.3666666672</v>
      </c>
      <c r="NW33" s="1">
        <v>6.3551158950137701E-2</v>
      </c>
      <c r="NX33" s="1"/>
      <c r="NY33" s="22">
        <v>4762</v>
      </c>
      <c r="NZ33" s="1" t="s">
        <v>38</v>
      </c>
      <c r="OA33" s="1">
        <v>2020</v>
      </c>
      <c r="OB33" s="1" t="s">
        <v>50</v>
      </c>
      <c r="OC33" s="1">
        <v>318075.5</v>
      </c>
      <c r="OD33" s="1">
        <v>5990228.4000000004</v>
      </c>
      <c r="OE33" s="1">
        <v>5.3099060463203701E-2</v>
      </c>
      <c r="OF33" s="1"/>
      <c r="OG33" s="22">
        <v>5958</v>
      </c>
      <c r="OH33" s="1" t="s">
        <v>31</v>
      </c>
      <c r="OI33" s="1">
        <v>2020</v>
      </c>
      <c r="OJ33" s="1" t="s">
        <v>50</v>
      </c>
      <c r="OK33" s="1">
        <v>442517.4</v>
      </c>
      <c r="OL33" s="1">
        <v>9257180.0999999996</v>
      </c>
      <c r="OM33" s="1">
        <v>4.7802613238560603E-2</v>
      </c>
      <c r="ON33" s="1"/>
      <c r="OO33" s="22">
        <v>7154</v>
      </c>
      <c r="OP33" s="1" t="s">
        <v>51</v>
      </c>
      <c r="OQ33" s="1">
        <v>2020</v>
      </c>
      <c r="OR33" s="1" t="s">
        <v>50</v>
      </c>
      <c r="OS33" s="1">
        <v>208769.7</v>
      </c>
      <c r="OT33" s="1">
        <v>4352046.4000000004</v>
      </c>
      <c r="OU33" s="1">
        <v>4.7970467410457698E-2</v>
      </c>
      <c r="OV33" s="1"/>
      <c r="OW33" s="22">
        <v>8350</v>
      </c>
      <c r="OX33" s="1" t="s">
        <v>57</v>
      </c>
      <c r="OY33" s="1">
        <v>2020</v>
      </c>
      <c r="OZ33" s="1" t="s">
        <v>50</v>
      </c>
      <c r="PA33" s="1">
        <v>603009.30000000005</v>
      </c>
      <c r="PB33" s="1">
        <v>11082248.733333331</v>
      </c>
      <c r="PC33" s="1">
        <v>5.4412178837518803E-2</v>
      </c>
      <c r="PD33" s="1"/>
      <c r="PE33" s="22">
        <v>8396</v>
      </c>
      <c r="PF33" s="1" t="s">
        <v>17</v>
      </c>
      <c r="PG33" s="1">
        <v>2021</v>
      </c>
      <c r="PH33" s="1" t="s">
        <v>50</v>
      </c>
      <c r="PI33" s="1">
        <v>325977.22160441597</v>
      </c>
      <c r="PJ33" s="1">
        <v>4622999.2247741111</v>
      </c>
      <c r="PK33" s="1">
        <v>7.0512064950723402E-2</v>
      </c>
      <c r="PL33" s="1"/>
      <c r="PM33" s="22">
        <v>9316</v>
      </c>
      <c r="PN33" s="1" t="s">
        <v>61</v>
      </c>
      <c r="PO33" s="1">
        <v>2021</v>
      </c>
      <c r="PP33" s="1" t="s">
        <v>50</v>
      </c>
      <c r="PQ33" s="1">
        <v>1981834.571384415</v>
      </c>
      <c r="PR33" s="1">
        <v>52589638.782026872</v>
      </c>
      <c r="PS33" s="1">
        <v>3.7684886553389502E-2</v>
      </c>
      <c r="PT33" s="1"/>
      <c r="PU33" s="22">
        <v>10236</v>
      </c>
      <c r="PV33" s="1" t="s">
        <v>44</v>
      </c>
      <c r="PW33" s="1">
        <v>2021</v>
      </c>
      <c r="PX33" s="1" t="s">
        <v>50</v>
      </c>
      <c r="PY33" s="1">
        <v>441137.01948694303</v>
      </c>
      <c r="PZ33" s="1">
        <v>6941447.2808129201</v>
      </c>
      <c r="QA33" s="1">
        <v>6.3551158950137701E-2</v>
      </c>
      <c r="QB33" s="1"/>
      <c r="QC33" s="22">
        <v>11156</v>
      </c>
      <c r="QD33" s="1" t="s">
        <v>38</v>
      </c>
      <c r="QE33" s="1">
        <v>2021</v>
      </c>
      <c r="QF33" s="1" t="s">
        <v>50</v>
      </c>
      <c r="QG33" s="1">
        <v>356334.45954575838</v>
      </c>
      <c r="QH33" s="1">
        <v>6710748.8614170318</v>
      </c>
      <c r="QI33" s="1">
        <v>5.3099060463203701E-2</v>
      </c>
      <c r="QJ33" s="1"/>
      <c r="QK33" s="22">
        <v>12076</v>
      </c>
      <c r="QL33" s="1" t="s">
        <v>31</v>
      </c>
      <c r="QM33" s="1">
        <v>2021</v>
      </c>
      <c r="QN33" s="1" t="s">
        <v>50</v>
      </c>
      <c r="QO33" s="1">
        <v>488357.87825305678</v>
      </c>
      <c r="QP33" s="1">
        <v>10216133.49495957</v>
      </c>
      <c r="QQ33" s="1">
        <v>4.7802613238560603E-2</v>
      </c>
      <c r="QR33" s="1"/>
      <c r="QS33" s="22">
        <v>12996</v>
      </c>
      <c r="QT33" s="1" t="s">
        <v>51</v>
      </c>
      <c r="QU33" s="1">
        <v>2021</v>
      </c>
      <c r="QV33" s="1" t="s">
        <v>50</v>
      </c>
      <c r="QW33" s="1">
        <v>238509.98067450221</v>
      </c>
      <c r="QX33" s="1">
        <v>4972017.0252605537</v>
      </c>
      <c r="QY33" s="1">
        <v>4.7970467410457698E-2</v>
      </c>
      <c r="QZ33" s="1"/>
      <c r="RA33" s="22">
        <v>13916</v>
      </c>
      <c r="RB33" s="1" t="s">
        <v>57</v>
      </c>
      <c r="RC33" s="1">
        <v>2021</v>
      </c>
      <c r="RD33" s="1" t="s">
        <v>50</v>
      </c>
      <c r="RE33" s="1">
        <v>601229.17056847212</v>
      </c>
      <c r="RF33" s="1">
        <v>11049533.09007922</v>
      </c>
      <c r="RG33" s="1">
        <v>5.4412178837518803E-2</v>
      </c>
      <c r="RH33" s="1"/>
      <c r="RI33" s="22">
        <v>8442</v>
      </c>
      <c r="RJ33" s="1" t="s">
        <v>17</v>
      </c>
      <c r="RK33" s="1">
        <v>2022</v>
      </c>
      <c r="RL33" s="1" t="s">
        <v>50</v>
      </c>
      <c r="RM33" s="1">
        <v>353061.12895426631</v>
      </c>
      <c r="RN33" s="1">
        <v>5007102.3902221443</v>
      </c>
      <c r="RO33" s="1">
        <v>7.0512064950723402E-2</v>
      </c>
      <c r="RP33" s="1"/>
      <c r="RQ33" s="22">
        <v>9362</v>
      </c>
      <c r="RR33" s="1" t="s">
        <v>61</v>
      </c>
      <c r="RS33" s="1">
        <v>2022</v>
      </c>
      <c r="RT33" s="1" t="s">
        <v>50</v>
      </c>
      <c r="RU33" s="1">
        <v>2176467.9794325191</v>
      </c>
      <c r="RV33" s="1">
        <v>57754399.13688051</v>
      </c>
      <c r="RW33" s="1">
        <v>3.7684886553389502E-2</v>
      </c>
      <c r="RX33" s="1"/>
      <c r="RY33" s="22">
        <v>10282</v>
      </c>
      <c r="RZ33" s="1" t="s">
        <v>44</v>
      </c>
      <c r="SA33" s="1">
        <v>2022</v>
      </c>
      <c r="SB33" s="1" t="s">
        <v>50</v>
      </c>
      <c r="SC33" s="1">
        <v>437027.83177122282</v>
      </c>
      <c r="SD33" s="1">
        <v>6876787.7563667288</v>
      </c>
      <c r="SE33" s="1">
        <v>6.3551158950137701E-2</v>
      </c>
      <c r="SF33" s="1"/>
      <c r="SG33" s="22">
        <v>11202</v>
      </c>
      <c r="SH33" s="1" t="s">
        <v>38</v>
      </c>
      <c r="SI33" s="1">
        <v>2022</v>
      </c>
      <c r="SJ33" s="1" t="s">
        <v>50</v>
      </c>
      <c r="SK33" s="1">
        <v>335898.04890990321</v>
      </c>
      <c r="SL33" s="1">
        <v>6325875.5612572851</v>
      </c>
      <c r="SM33" s="1">
        <v>5.3099060463203701E-2</v>
      </c>
      <c r="SN33" s="1"/>
      <c r="SO33" s="22">
        <v>12122</v>
      </c>
      <c r="SP33" s="1" t="s">
        <v>31</v>
      </c>
      <c r="SQ33" s="1">
        <v>2022</v>
      </c>
      <c r="SR33" s="1" t="s">
        <v>50</v>
      </c>
      <c r="SS33" s="1">
        <v>467614.20828701498</v>
      </c>
      <c r="ST33" s="1">
        <v>9782189.227885304</v>
      </c>
      <c r="SU33" s="1">
        <v>4.7802613238560603E-2</v>
      </c>
      <c r="SV33" s="1"/>
      <c r="SW33" s="22">
        <v>13042</v>
      </c>
      <c r="SX33" s="1" t="s">
        <v>51</v>
      </c>
      <c r="SY33" s="1">
        <v>2022</v>
      </c>
      <c r="SZ33" s="1" t="s">
        <v>50</v>
      </c>
      <c r="TA33" s="1">
        <v>230286.06469215901</v>
      </c>
      <c r="TB33" s="1">
        <v>4800579.963537232</v>
      </c>
      <c r="TC33" s="1">
        <v>4.7970467410457698E-2</v>
      </c>
      <c r="TD33" s="1"/>
      <c r="TE33" s="22">
        <v>13962</v>
      </c>
      <c r="TF33" s="1" t="s">
        <v>57</v>
      </c>
      <c r="TG33" s="1">
        <v>2022</v>
      </c>
      <c r="TH33" s="1" t="s">
        <v>50</v>
      </c>
      <c r="TI33" s="1">
        <v>508561.02524856181</v>
      </c>
      <c r="TJ33" s="1">
        <v>9346455.8140041605</v>
      </c>
      <c r="TK33" s="1">
        <v>5.4412178837518803E-2</v>
      </c>
      <c r="TL33" s="1"/>
      <c r="TM33" s="22">
        <v>8488</v>
      </c>
      <c r="TN33" s="1" t="s">
        <v>17</v>
      </c>
      <c r="TO33" s="1">
        <v>2023</v>
      </c>
      <c r="TP33" s="1" t="s">
        <v>50</v>
      </c>
      <c r="TQ33" s="1">
        <v>350309.70183731132</v>
      </c>
      <c r="TR33" s="1">
        <v>4968081.7329930915</v>
      </c>
      <c r="TS33" s="1">
        <v>7.0512064950723402E-2</v>
      </c>
      <c r="TT33" s="1"/>
      <c r="TU33" s="22">
        <v>9408</v>
      </c>
      <c r="TV33" s="1" t="s">
        <v>61</v>
      </c>
      <c r="TW33" s="1">
        <v>2023</v>
      </c>
      <c r="TX33" s="1" t="s">
        <v>50</v>
      </c>
      <c r="TY33" s="1">
        <v>2319892.640701314</v>
      </c>
      <c r="TZ33" s="1">
        <v>61560292.543660469</v>
      </c>
      <c r="UA33" s="1">
        <v>3.7684886553389502E-2</v>
      </c>
      <c r="UB33" s="1"/>
      <c r="UC33" s="22">
        <v>10328</v>
      </c>
      <c r="UD33" s="1" t="s">
        <v>44</v>
      </c>
      <c r="UE33" s="1">
        <v>2023</v>
      </c>
      <c r="UF33" s="1" t="s">
        <v>50</v>
      </c>
      <c r="UG33" s="1">
        <v>472929.89466178109</v>
      </c>
      <c r="UH33" s="1">
        <v>7441719.4347760417</v>
      </c>
      <c r="UI33" s="1">
        <v>6.3551158950137701E-2</v>
      </c>
      <c r="UJ33" s="1"/>
      <c r="UK33" s="22">
        <v>11248</v>
      </c>
      <c r="UL33" s="1" t="s">
        <v>38</v>
      </c>
      <c r="UM33" s="1">
        <v>2023</v>
      </c>
      <c r="UN33" s="1" t="s">
        <v>50</v>
      </c>
      <c r="UO33" s="1">
        <v>366592.90584154421</v>
      </c>
      <c r="UP33" s="1">
        <v>6903943.3587640161</v>
      </c>
      <c r="UQ33" s="1">
        <v>5.3099060463203701E-2</v>
      </c>
      <c r="UR33" s="1"/>
      <c r="US33" s="22">
        <v>12168</v>
      </c>
      <c r="UT33" s="1" t="s">
        <v>31</v>
      </c>
      <c r="UU33" s="1">
        <v>2023</v>
      </c>
      <c r="UV33" s="1" t="s">
        <v>50</v>
      </c>
      <c r="UW33" s="1">
        <v>508281.68470663449</v>
      </c>
      <c r="UX33" s="1">
        <v>10632926.743356841</v>
      </c>
      <c r="UY33" s="1">
        <v>4.7802613238560603E-2</v>
      </c>
      <c r="UZ33" s="1"/>
      <c r="VA33" s="22">
        <v>13088</v>
      </c>
      <c r="VB33" s="1" t="s">
        <v>51</v>
      </c>
      <c r="VC33" s="1">
        <v>2023</v>
      </c>
      <c r="VD33" s="1" t="s">
        <v>50</v>
      </c>
      <c r="VE33" s="1">
        <v>252234.7486301295</v>
      </c>
      <c r="VF33" s="1">
        <v>5258125.7228930313</v>
      </c>
      <c r="VG33" s="1">
        <v>4.7970467410457698E-2</v>
      </c>
      <c r="VH33" s="1"/>
      <c r="VI33" s="22">
        <v>14008</v>
      </c>
      <c r="VJ33" s="1" t="s">
        <v>57</v>
      </c>
      <c r="VK33" s="1">
        <v>2023</v>
      </c>
      <c r="VL33" s="1" t="s">
        <v>50</v>
      </c>
      <c r="VM33" s="1">
        <v>502680.15529681981</v>
      </c>
      <c r="VN33" s="1">
        <v>9238375.7834414635</v>
      </c>
      <c r="VO33" s="1">
        <v>5.4412178837518803E-2</v>
      </c>
      <c r="VP33" s="1"/>
      <c r="VQ33" s="22">
        <v>8534</v>
      </c>
      <c r="VR33" s="1" t="s">
        <v>17</v>
      </c>
      <c r="VS33" s="1">
        <v>2024</v>
      </c>
      <c r="VT33" s="1" t="s">
        <v>50</v>
      </c>
      <c r="VU33" s="1">
        <v>361255.7718731878</v>
      </c>
      <c r="VV33" s="1">
        <v>5123318.5714479852</v>
      </c>
      <c r="VW33" s="1">
        <v>7.0512064950723402E-2</v>
      </c>
      <c r="VX33" s="1"/>
      <c r="VY33" s="22">
        <v>9454</v>
      </c>
      <c r="VZ33" s="1" t="s">
        <v>61</v>
      </c>
      <c r="WA33" s="1">
        <v>2024</v>
      </c>
      <c r="WB33" s="1" t="s">
        <v>50</v>
      </c>
      <c r="WC33" s="1">
        <v>2442428.7528671278</v>
      </c>
      <c r="WD33" s="1">
        <v>64811890.820126347</v>
      </c>
      <c r="WE33" s="1">
        <v>3.7684886553389502E-2</v>
      </c>
      <c r="WF33" s="1"/>
      <c r="WG33" s="22">
        <v>10374</v>
      </c>
      <c r="WH33" s="1" t="s">
        <v>44</v>
      </c>
      <c r="WI33" s="1">
        <v>2024</v>
      </c>
      <c r="WJ33" s="1" t="s">
        <v>50</v>
      </c>
      <c r="WK33" s="1">
        <v>511379.14870808809</v>
      </c>
      <c r="WL33" s="1">
        <v>8046732.0684004631</v>
      </c>
      <c r="WM33" s="1">
        <v>6.3551158950137701E-2</v>
      </c>
      <c r="WN33" s="1"/>
      <c r="WO33" s="22">
        <v>11294</v>
      </c>
      <c r="WP33" s="1" t="s">
        <v>38</v>
      </c>
      <c r="WQ33" s="1">
        <v>2024</v>
      </c>
      <c r="WR33" s="1" t="s">
        <v>50</v>
      </c>
      <c r="WS33" s="1">
        <v>379836.39183815278</v>
      </c>
      <c r="WT33" s="1">
        <v>7153354.2877160665</v>
      </c>
      <c r="WU33" s="1">
        <v>5.3099060463203701E-2</v>
      </c>
      <c r="WV33" s="1"/>
      <c r="WW33" s="22">
        <v>12214</v>
      </c>
      <c r="WX33" s="1" t="s">
        <v>31</v>
      </c>
      <c r="WY33" s="1">
        <v>2024</v>
      </c>
      <c r="WZ33" s="1" t="s">
        <v>50</v>
      </c>
      <c r="XA33" s="1">
        <v>523357.0654296545</v>
      </c>
      <c r="XB33" s="1">
        <v>10948294.03609846</v>
      </c>
      <c r="XC33" s="1">
        <v>4.7802613238560603E-2</v>
      </c>
      <c r="XD33" s="1"/>
      <c r="XE33" s="22">
        <v>13134</v>
      </c>
      <c r="XF33" s="1" t="s">
        <v>51</v>
      </c>
      <c r="XG33" s="1">
        <v>2024</v>
      </c>
      <c r="XH33" s="1" t="s">
        <v>50</v>
      </c>
      <c r="XI33" s="1">
        <v>259694.71819835561</v>
      </c>
      <c r="XJ33" s="1">
        <v>5413637.436055948</v>
      </c>
      <c r="XK33" s="1">
        <v>4.7970467410457698E-2</v>
      </c>
      <c r="XL33" s="1"/>
      <c r="XM33" s="22">
        <v>14054</v>
      </c>
      <c r="XN33" s="1" t="s">
        <v>57</v>
      </c>
      <c r="XO33" s="1">
        <v>2024</v>
      </c>
      <c r="XP33" s="1" t="s">
        <v>50</v>
      </c>
      <c r="XQ33" s="1">
        <v>480373.65405564202</v>
      </c>
      <c r="XR33" s="1">
        <v>8828421.583522588</v>
      </c>
      <c r="XS33" s="1">
        <v>5.4412178837518803E-2</v>
      </c>
      <c r="XT33" s="1"/>
    </row>
    <row r="34" spans="1:644" x14ac:dyDescent="0.25">
      <c r="A34" s="2">
        <v>25</v>
      </c>
      <c r="B34" s="1" t="s">
        <v>17</v>
      </c>
      <c r="C34" s="17" t="s">
        <v>21</v>
      </c>
      <c r="D34" s="17">
        <v>7.167914529752295E-2</v>
      </c>
      <c r="E34" s="17">
        <v>7.1926969387199988E-2</v>
      </c>
      <c r="F34" s="17">
        <v>7.3367553972143618E-2</v>
      </c>
      <c r="G34" s="17">
        <v>7.3033956312216292E-2</v>
      </c>
      <c r="H34" s="17">
        <v>7.1603216400616621E-2</v>
      </c>
      <c r="I34" s="17">
        <v>7.0678082829034664E-2</v>
      </c>
      <c r="J34" s="17">
        <v>7.1844173263333519E-2</v>
      </c>
      <c r="K34" s="17">
        <v>7.1844173263333644E-2</v>
      </c>
      <c r="L34" s="17">
        <v>7.1844173263333644E-2</v>
      </c>
      <c r="M34" s="17">
        <v>7.1844173263333658E-2</v>
      </c>
      <c r="N34" s="17">
        <v>7.1844173263333644E-2</v>
      </c>
      <c r="O34" s="17">
        <v>7.1955435501400211E-2</v>
      </c>
      <c r="P34" s="1"/>
      <c r="Q34" s="2">
        <v>209</v>
      </c>
      <c r="R34" s="1" t="s">
        <v>51</v>
      </c>
      <c r="S34" s="17" t="s">
        <v>21</v>
      </c>
      <c r="T34" s="17">
        <v>8.9990631053502981E-2</v>
      </c>
      <c r="U34" s="1"/>
      <c r="AC34" s="22">
        <v>899</v>
      </c>
      <c r="AD34" s="17" t="s">
        <v>17</v>
      </c>
      <c r="AE34" s="17">
        <v>2014</v>
      </c>
      <c r="AF34" s="17" t="s">
        <v>21</v>
      </c>
      <c r="AG34" s="17">
        <v>293039.8</v>
      </c>
      <c r="AH34" s="17">
        <v>4088215.6</v>
      </c>
      <c r="AI34" s="17">
        <v>7.1679145297522895E-2</v>
      </c>
      <c r="AJ34" s="1"/>
      <c r="AK34" s="22">
        <v>2095</v>
      </c>
      <c r="AL34" s="1" t="s">
        <v>61</v>
      </c>
      <c r="AM34" s="1">
        <v>2014</v>
      </c>
      <c r="AN34" s="1" t="s">
        <v>21</v>
      </c>
      <c r="AO34" s="1">
        <v>3087091.7</v>
      </c>
      <c r="AP34" s="1">
        <v>40350049.200000003</v>
      </c>
      <c r="AQ34" s="1">
        <v>7.6507755534533498E-2</v>
      </c>
      <c r="AR34" s="1"/>
      <c r="AS34" s="22">
        <v>3291</v>
      </c>
      <c r="AT34" s="1" t="s">
        <v>44</v>
      </c>
      <c r="AU34" s="1">
        <v>2014</v>
      </c>
      <c r="AV34" s="1" t="s">
        <v>21</v>
      </c>
      <c r="AW34" s="1">
        <v>497197.2</v>
      </c>
      <c r="AX34" s="1">
        <v>6735816.8000000007</v>
      </c>
      <c r="AY34" s="1">
        <v>7.3813943395847695E-2</v>
      </c>
      <c r="AZ34" s="1"/>
      <c r="BA34" s="22">
        <v>4487</v>
      </c>
      <c r="BB34" s="1" t="s">
        <v>38</v>
      </c>
      <c r="BC34" s="1">
        <v>2014</v>
      </c>
      <c r="BD34" s="1" t="s">
        <v>21</v>
      </c>
      <c r="BE34" s="1">
        <v>524326.19999999995</v>
      </c>
      <c r="BF34" s="1">
        <v>6538596.7000000002</v>
      </c>
      <c r="BG34" s="1">
        <v>8.0189408225774098E-2</v>
      </c>
      <c r="BH34" s="1"/>
      <c r="BI34" s="22">
        <v>5683</v>
      </c>
      <c r="BJ34" s="1" t="s">
        <v>31</v>
      </c>
      <c r="BK34" s="1">
        <v>2014</v>
      </c>
      <c r="BL34" s="1" t="s">
        <v>21</v>
      </c>
      <c r="BM34" s="1">
        <v>603074.80000000005</v>
      </c>
      <c r="BN34" s="1">
        <v>9155477.5</v>
      </c>
      <c r="BO34" s="1">
        <v>6.5870381965331598E-2</v>
      </c>
      <c r="BP34" s="1"/>
      <c r="BQ34" s="22">
        <v>6879</v>
      </c>
      <c r="BR34" s="1" t="s">
        <v>51</v>
      </c>
      <c r="BS34" s="1">
        <v>2014</v>
      </c>
      <c r="BT34" s="1" t="s">
        <v>21</v>
      </c>
      <c r="BU34" s="1">
        <v>432752.2</v>
      </c>
      <c r="BV34" s="1">
        <v>4981875.5</v>
      </c>
      <c r="BW34" s="1">
        <v>8.6865318091550001E-2</v>
      </c>
      <c r="BX34" s="1"/>
      <c r="BY34" s="22">
        <v>8075</v>
      </c>
      <c r="BZ34" s="1" t="s">
        <v>57</v>
      </c>
      <c r="CA34" s="1">
        <v>2014</v>
      </c>
      <c r="CB34" s="1" t="s">
        <v>21</v>
      </c>
      <c r="CC34" s="1">
        <v>1035413.3</v>
      </c>
      <c r="CD34" s="1">
        <v>11026913.800000001</v>
      </c>
      <c r="CE34" s="1">
        <v>9.3898738920041205E-2</v>
      </c>
      <c r="CF34" s="1"/>
      <c r="CG34" s="22">
        <v>945</v>
      </c>
      <c r="CH34" s="1" t="s">
        <v>17</v>
      </c>
      <c r="CI34" s="1">
        <v>2015</v>
      </c>
      <c r="CJ34" s="1" t="s">
        <v>21</v>
      </c>
      <c r="CK34" s="1">
        <v>255710</v>
      </c>
      <c r="CL34" s="1">
        <v>3555133.8</v>
      </c>
      <c r="CM34" s="1">
        <v>7.1926969387199904E-2</v>
      </c>
      <c r="CN34" s="1"/>
      <c r="CO34" s="22">
        <v>2141</v>
      </c>
      <c r="CP34" s="1" t="s">
        <v>61</v>
      </c>
      <c r="CQ34" s="1">
        <v>2015</v>
      </c>
      <c r="CR34" s="1" t="s">
        <v>21</v>
      </c>
      <c r="CS34" s="1">
        <v>3212328.6</v>
      </c>
      <c r="CT34" s="1">
        <v>41208556.399999999</v>
      </c>
      <c r="CU34" s="1">
        <v>7.7952951537996598E-2</v>
      </c>
      <c r="CV34" s="1"/>
      <c r="CW34" s="22">
        <v>3337</v>
      </c>
      <c r="CX34" s="1" t="s">
        <v>44</v>
      </c>
      <c r="CY34" s="1">
        <v>2015</v>
      </c>
      <c r="CZ34" s="1" t="s">
        <v>21</v>
      </c>
      <c r="DA34" s="1">
        <v>480353.5</v>
      </c>
      <c r="DB34" s="1">
        <v>6404349.4000000004</v>
      </c>
      <c r="DC34" s="1">
        <v>7.5004261947357195E-2</v>
      </c>
      <c r="DD34" s="1"/>
      <c r="DE34" s="22">
        <v>4533</v>
      </c>
      <c r="DF34" s="1" t="s">
        <v>38</v>
      </c>
      <c r="DG34" s="1">
        <v>2015</v>
      </c>
      <c r="DH34" s="1" t="s">
        <v>21</v>
      </c>
      <c r="DI34" s="1">
        <v>450679.9</v>
      </c>
      <c r="DJ34" s="1">
        <v>5531517.5999999996</v>
      </c>
      <c r="DK34" s="1">
        <v>8.1474910248861901E-2</v>
      </c>
      <c r="DL34" s="1"/>
      <c r="DM34" s="22">
        <v>5729</v>
      </c>
      <c r="DN34" s="1" t="s">
        <v>31</v>
      </c>
      <c r="DO34" s="1">
        <v>2015</v>
      </c>
      <c r="DP34" s="1" t="s">
        <v>21</v>
      </c>
      <c r="DQ34" s="1">
        <v>516154.4</v>
      </c>
      <c r="DR34" s="1">
        <v>7894528</v>
      </c>
      <c r="DS34" s="1">
        <v>6.5381286886309106E-2</v>
      </c>
      <c r="DT34" s="1"/>
      <c r="DU34" s="22">
        <v>6925</v>
      </c>
      <c r="DV34" s="1" t="s">
        <v>51</v>
      </c>
      <c r="DW34" s="1">
        <v>2015</v>
      </c>
      <c r="DX34" s="1" t="s">
        <v>21</v>
      </c>
      <c r="DY34" s="1">
        <v>368408</v>
      </c>
      <c r="DZ34" s="1">
        <v>4209274.5999999996</v>
      </c>
      <c r="EA34" s="1">
        <v>8.7522919032177196E-2</v>
      </c>
      <c r="EB34" s="1"/>
      <c r="EC34" s="22">
        <v>8121</v>
      </c>
      <c r="ED34" s="1" t="s">
        <v>57</v>
      </c>
      <c r="EE34" s="1">
        <v>2015</v>
      </c>
      <c r="EF34" s="1" t="s">
        <v>21</v>
      </c>
      <c r="EG34" s="1">
        <v>899418.7</v>
      </c>
      <c r="EH34" s="1">
        <v>9729477.0999999996</v>
      </c>
      <c r="EI34" s="1">
        <v>9.2442655525649897E-2</v>
      </c>
      <c r="EJ34" s="1"/>
      <c r="EK34" s="22">
        <v>991</v>
      </c>
      <c r="EL34" s="1" t="s">
        <v>17</v>
      </c>
      <c r="EM34" s="1">
        <v>2016</v>
      </c>
      <c r="EN34" s="1" t="s">
        <v>21</v>
      </c>
      <c r="EO34" s="1">
        <v>254101.7</v>
      </c>
      <c r="EP34" s="1">
        <v>3463407</v>
      </c>
      <c r="EQ34" s="1">
        <v>7.3367553972143604E-2</v>
      </c>
      <c r="ER34" s="1"/>
      <c r="ES34" s="22">
        <v>2187</v>
      </c>
      <c r="ET34" s="1" t="s">
        <v>61</v>
      </c>
      <c r="EU34" s="1">
        <v>2016</v>
      </c>
      <c r="EV34" s="1" t="s">
        <v>21</v>
      </c>
      <c r="EW34" s="1">
        <v>3280103.9</v>
      </c>
      <c r="EX34" s="1">
        <v>42141395.200000003</v>
      </c>
      <c r="EY34" s="1">
        <v>7.78356740310297E-2</v>
      </c>
      <c r="EZ34" s="1"/>
      <c r="FA34" s="22">
        <v>3383</v>
      </c>
      <c r="FB34" s="1" t="s">
        <v>44</v>
      </c>
      <c r="FC34" s="1">
        <v>2016</v>
      </c>
      <c r="FD34" s="1" t="s">
        <v>21</v>
      </c>
      <c r="FE34" s="1">
        <v>427380.9</v>
      </c>
      <c r="FF34" s="1">
        <v>5868597.7999999998</v>
      </c>
      <c r="FG34" s="1">
        <v>7.2825045192226295E-2</v>
      </c>
      <c r="FH34" s="1"/>
      <c r="FI34" s="22">
        <v>4579</v>
      </c>
      <c r="FJ34" s="1" t="s">
        <v>38</v>
      </c>
      <c r="FK34" s="1">
        <v>2016</v>
      </c>
      <c r="FL34" s="1" t="s">
        <v>21</v>
      </c>
      <c r="FM34" s="1">
        <v>458782.4</v>
      </c>
      <c r="FN34" s="1">
        <v>5582986.5</v>
      </c>
      <c r="FO34" s="1">
        <v>8.2175086756881802E-2</v>
      </c>
      <c r="FP34" s="1"/>
      <c r="FQ34" s="22">
        <v>5775</v>
      </c>
      <c r="FR34" s="1" t="s">
        <v>31</v>
      </c>
      <c r="FS34" s="1">
        <v>2016</v>
      </c>
      <c r="FT34" s="1" t="s">
        <v>21</v>
      </c>
      <c r="FU34" s="1">
        <v>539085.1</v>
      </c>
      <c r="FV34" s="1">
        <v>8130820.9000000004</v>
      </c>
      <c r="FW34" s="1">
        <v>6.6301435811973106E-2</v>
      </c>
      <c r="FX34" s="1"/>
      <c r="FY34" s="22">
        <v>6971</v>
      </c>
      <c r="FZ34" s="1" t="s">
        <v>51</v>
      </c>
      <c r="GA34" s="1">
        <v>2016</v>
      </c>
      <c r="GB34" s="1" t="s">
        <v>21</v>
      </c>
      <c r="GC34" s="1">
        <v>371002.1</v>
      </c>
      <c r="GD34" s="1">
        <v>4230502.5999999996</v>
      </c>
      <c r="GE34" s="1">
        <v>8.7696932274666295E-2</v>
      </c>
      <c r="GF34" s="1"/>
      <c r="GG34" s="22">
        <v>8167</v>
      </c>
      <c r="GH34" s="1" t="s">
        <v>57</v>
      </c>
      <c r="GI34" s="1">
        <v>2016</v>
      </c>
      <c r="GJ34" s="1" t="s">
        <v>21</v>
      </c>
      <c r="GK34" s="1">
        <v>991957.4</v>
      </c>
      <c r="GL34" s="1">
        <v>10773649.5</v>
      </c>
      <c r="GM34" s="1">
        <v>9.2072551645568199E-2</v>
      </c>
      <c r="GN34" s="1"/>
      <c r="GO34" s="22">
        <v>1037</v>
      </c>
      <c r="GP34" s="1" t="s">
        <v>17</v>
      </c>
      <c r="GQ34" s="1">
        <v>2017</v>
      </c>
      <c r="GR34" s="1" t="s">
        <v>21</v>
      </c>
      <c r="GS34" s="1">
        <v>271667</v>
      </c>
      <c r="GT34" s="1">
        <v>3719735.5</v>
      </c>
      <c r="GU34" s="1">
        <v>7.3033956312216194E-2</v>
      </c>
      <c r="GV34" s="1"/>
      <c r="GW34" s="22">
        <v>2233</v>
      </c>
      <c r="GX34" s="1" t="s">
        <v>61</v>
      </c>
      <c r="GY34" s="1">
        <v>2017</v>
      </c>
      <c r="GZ34" s="1" t="s">
        <v>21</v>
      </c>
      <c r="HA34" s="1">
        <v>3445688.4</v>
      </c>
      <c r="HB34" s="1">
        <v>44107004.100000001</v>
      </c>
      <c r="HC34" s="1">
        <v>7.8121116369361296E-2</v>
      </c>
      <c r="HD34" s="1"/>
      <c r="HE34" s="22">
        <v>3429</v>
      </c>
      <c r="HF34" s="1" t="s">
        <v>44</v>
      </c>
      <c r="HG34" s="1">
        <v>2017</v>
      </c>
      <c r="HH34" s="1" t="s">
        <v>21</v>
      </c>
      <c r="HI34" s="1">
        <v>429254.2</v>
      </c>
      <c r="HJ34" s="1">
        <v>5855367.5</v>
      </c>
      <c r="HK34" s="1">
        <v>7.3309523270742596E-2</v>
      </c>
      <c r="HL34" s="1"/>
      <c r="HM34" s="22">
        <v>4625</v>
      </c>
      <c r="HN34" s="1" t="s">
        <v>38</v>
      </c>
      <c r="HO34" s="1">
        <v>2017</v>
      </c>
      <c r="HP34" s="1" t="s">
        <v>21</v>
      </c>
      <c r="HQ34" s="1">
        <v>486586.5</v>
      </c>
      <c r="HR34" s="1">
        <v>5923445.7000000002</v>
      </c>
      <c r="HS34" s="1">
        <v>8.2145853046310502E-2</v>
      </c>
      <c r="HT34" s="1"/>
      <c r="HU34" s="22">
        <v>5821</v>
      </c>
      <c r="HV34" s="1" t="s">
        <v>31</v>
      </c>
      <c r="HW34" s="1">
        <v>2017</v>
      </c>
      <c r="HX34" s="1" t="s">
        <v>21</v>
      </c>
      <c r="HY34" s="1">
        <v>580159.1</v>
      </c>
      <c r="HZ34" s="1">
        <v>8686095.3000000007</v>
      </c>
      <c r="IA34" s="1">
        <v>6.6791703286976298E-2</v>
      </c>
      <c r="IB34" s="1"/>
      <c r="IC34" s="22">
        <v>7017</v>
      </c>
      <c r="ID34" s="1" t="s">
        <v>51</v>
      </c>
      <c r="IE34" s="1">
        <v>2017</v>
      </c>
      <c r="IF34" s="1" t="s">
        <v>21</v>
      </c>
      <c r="IG34" s="1">
        <v>396399.2</v>
      </c>
      <c r="IH34" s="1">
        <v>4472691.8</v>
      </c>
      <c r="II34" s="1">
        <v>8.8626540286097899E-2</v>
      </c>
      <c r="IJ34" s="1"/>
      <c r="IK34" s="22">
        <v>8213</v>
      </c>
      <c r="IL34" s="1" t="s">
        <v>57</v>
      </c>
      <c r="IM34" s="1">
        <v>2017</v>
      </c>
      <c r="IN34" s="1" t="s">
        <v>21</v>
      </c>
      <c r="IO34" s="1">
        <v>982202.9</v>
      </c>
      <c r="IP34" s="1">
        <v>10750260.5</v>
      </c>
      <c r="IQ34" s="1">
        <v>9.1365497608174195E-2</v>
      </c>
      <c r="IR34" s="1"/>
      <c r="IS34" s="22">
        <v>1083</v>
      </c>
      <c r="IT34" s="1" t="s">
        <v>17</v>
      </c>
      <c r="IU34" s="1">
        <v>2018</v>
      </c>
      <c r="IV34" s="1" t="s">
        <v>21</v>
      </c>
      <c r="IW34" s="1">
        <v>279550.8</v>
      </c>
      <c r="IX34" s="1">
        <v>3904165.4</v>
      </c>
      <c r="IY34" s="1">
        <v>7.1603216400616607E-2</v>
      </c>
      <c r="IZ34" s="1"/>
      <c r="JA34" s="22">
        <v>2279</v>
      </c>
      <c r="JB34" s="1" t="s">
        <v>61</v>
      </c>
      <c r="JC34" s="1">
        <v>2018</v>
      </c>
      <c r="JD34" s="1" t="s">
        <v>21</v>
      </c>
      <c r="JE34" s="1">
        <v>3619147.9</v>
      </c>
      <c r="JF34" s="1">
        <v>46669099.200000003</v>
      </c>
      <c r="JG34" s="1">
        <v>7.7549126982078095E-2</v>
      </c>
      <c r="JH34" s="1"/>
      <c r="JI34" s="22">
        <v>3475</v>
      </c>
      <c r="JJ34" s="1" t="s">
        <v>44</v>
      </c>
      <c r="JK34" s="1">
        <v>2018</v>
      </c>
      <c r="JL34" s="1" t="s">
        <v>21</v>
      </c>
      <c r="JM34" s="1">
        <v>468087.6</v>
      </c>
      <c r="JN34" s="1">
        <v>6336724.7000000002</v>
      </c>
      <c r="JO34" s="1">
        <v>7.3869013119664095E-2</v>
      </c>
      <c r="JP34" s="1"/>
      <c r="JQ34" s="22">
        <v>4671</v>
      </c>
      <c r="JR34" s="1" t="s">
        <v>38</v>
      </c>
      <c r="JS34" s="1">
        <v>2018</v>
      </c>
      <c r="JT34" s="1" t="s">
        <v>21</v>
      </c>
      <c r="JU34" s="1">
        <v>521835.1</v>
      </c>
      <c r="JV34" s="1">
        <v>6390706</v>
      </c>
      <c r="JW34" s="1">
        <v>8.1655313200137802E-2</v>
      </c>
      <c r="JX34" s="1"/>
      <c r="JY34" s="22">
        <v>5867</v>
      </c>
      <c r="JZ34" s="1" t="s">
        <v>31</v>
      </c>
      <c r="KA34" s="1">
        <v>2018</v>
      </c>
      <c r="KB34" s="1" t="s">
        <v>21</v>
      </c>
      <c r="KC34" s="1">
        <v>635586.9</v>
      </c>
      <c r="KD34" s="1">
        <v>9443218.3000000007</v>
      </c>
      <c r="KE34" s="1">
        <v>6.7306174633281493E-2</v>
      </c>
      <c r="KF34" s="1"/>
      <c r="KG34" s="22">
        <v>7063</v>
      </c>
      <c r="KH34" s="1" t="s">
        <v>51</v>
      </c>
      <c r="KI34" s="1">
        <v>2018</v>
      </c>
      <c r="KJ34" s="1" t="s">
        <v>21</v>
      </c>
      <c r="KK34" s="1">
        <v>422810.5</v>
      </c>
      <c r="KL34" s="1">
        <v>4803387.8</v>
      </c>
      <c r="KM34" s="1">
        <v>8.80233946549141E-2</v>
      </c>
      <c r="KN34" s="1"/>
      <c r="KO34" s="22">
        <v>8259</v>
      </c>
      <c r="KP34" s="1" t="s">
        <v>57</v>
      </c>
      <c r="KQ34" s="1">
        <v>2018</v>
      </c>
      <c r="KR34" s="1" t="s">
        <v>21</v>
      </c>
      <c r="KS34" s="1">
        <v>1004389.4</v>
      </c>
      <c r="KT34" s="1">
        <v>11172914.4</v>
      </c>
      <c r="KU34" s="1">
        <v>8.9895023271636204E-2</v>
      </c>
      <c r="KV34" s="1"/>
      <c r="KW34" s="22">
        <v>1129</v>
      </c>
      <c r="KX34" s="1" t="s">
        <v>17</v>
      </c>
      <c r="KY34" s="1">
        <v>2019</v>
      </c>
      <c r="KZ34" s="1" t="s">
        <v>21</v>
      </c>
      <c r="LA34" s="1">
        <v>279555</v>
      </c>
      <c r="LB34" s="1">
        <v>3955328</v>
      </c>
      <c r="LC34" s="1">
        <v>7.0678082829034594E-2</v>
      </c>
      <c r="LD34" s="1"/>
      <c r="LE34" s="22">
        <v>2325</v>
      </c>
      <c r="LF34" s="1" t="s">
        <v>61</v>
      </c>
      <c r="LG34" s="1">
        <v>2019</v>
      </c>
      <c r="LH34" s="1" t="s">
        <v>21</v>
      </c>
      <c r="LI34" s="1">
        <v>3699899.9</v>
      </c>
      <c r="LJ34" s="1">
        <v>48356774.5</v>
      </c>
      <c r="LK34" s="1">
        <v>7.6512545310481697E-2</v>
      </c>
      <c r="LL34" s="1"/>
      <c r="LM34" s="22">
        <v>3521</v>
      </c>
      <c r="LN34" s="1" t="s">
        <v>44</v>
      </c>
      <c r="LO34" s="1">
        <v>2019</v>
      </c>
      <c r="LP34" s="1" t="s">
        <v>21</v>
      </c>
      <c r="LQ34" s="1">
        <v>470994.7</v>
      </c>
      <c r="LR34" s="1">
        <v>6269787.0999999996</v>
      </c>
      <c r="LS34" s="1">
        <v>7.5121322700096096E-2</v>
      </c>
      <c r="LT34" s="1"/>
      <c r="LU34" s="22">
        <v>4717</v>
      </c>
      <c r="LV34" s="1" t="s">
        <v>38</v>
      </c>
      <c r="LW34" s="1">
        <v>2019</v>
      </c>
      <c r="LX34" s="1" t="s">
        <v>21</v>
      </c>
      <c r="LY34" s="1">
        <v>505647.6</v>
      </c>
      <c r="LZ34" s="1">
        <v>6182094.5</v>
      </c>
      <c r="MA34" s="1">
        <v>8.1792279299515699E-2</v>
      </c>
      <c r="MB34" s="1"/>
      <c r="MC34" s="22">
        <v>5913</v>
      </c>
      <c r="MD34" s="1" t="s">
        <v>31</v>
      </c>
      <c r="ME34" s="1">
        <v>2019</v>
      </c>
      <c r="MF34" s="1" t="s">
        <v>21</v>
      </c>
      <c r="MG34" s="1">
        <v>621563.5</v>
      </c>
      <c r="MH34" s="1">
        <v>9237079</v>
      </c>
      <c r="MI34" s="1">
        <v>6.7290049159479906E-2</v>
      </c>
      <c r="MJ34" s="1"/>
      <c r="MK34" s="22">
        <v>7109</v>
      </c>
      <c r="ML34" s="1" t="s">
        <v>51</v>
      </c>
      <c r="MM34" s="1">
        <v>2019</v>
      </c>
      <c r="MN34" s="1" t="s">
        <v>21</v>
      </c>
      <c r="MO34" s="1">
        <v>417608.3</v>
      </c>
      <c r="MP34" s="1">
        <v>4608662</v>
      </c>
      <c r="MQ34" s="1">
        <v>9.0613783349700994E-2</v>
      </c>
      <c r="MR34" s="1"/>
      <c r="MS34" s="22">
        <v>8305</v>
      </c>
      <c r="MT34" s="1" t="s">
        <v>57</v>
      </c>
      <c r="MU34" s="1">
        <v>2019</v>
      </c>
      <c r="MV34" s="1" t="s">
        <v>21</v>
      </c>
      <c r="MW34" s="1">
        <v>1005696.9</v>
      </c>
      <c r="MX34" s="1">
        <v>11338077</v>
      </c>
      <c r="MY34" s="1">
        <v>8.8700835247458601E-2</v>
      </c>
      <c r="MZ34" s="1"/>
      <c r="NA34" s="22">
        <v>1175</v>
      </c>
      <c r="NB34" s="1" t="s">
        <v>17</v>
      </c>
      <c r="NC34" s="1">
        <v>2020</v>
      </c>
      <c r="ND34" s="1" t="s">
        <v>21</v>
      </c>
      <c r="NE34" s="1">
        <v>271912.40000000002</v>
      </c>
      <c r="NF34" s="1">
        <v>3784752.3</v>
      </c>
      <c r="NG34" s="1">
        <v>7.1844173263333505E-2</v>
      </c>
      <c r="NH34" s="1"/>
      <c r="NI34" s="22">
        <v>2371</v>
      </c>
      <c r="NJ34" s="1" t="s">
        <v>61</v>
      </c>
      <c r="NK34" s="1">
        <v>2020</v>
      </c>
      <c r="NL34" s="1" t="s">
        <v>21</v>
      </c>
      <c r="NM34" s="1">
        <v>3712297.8</v>
      </c>
      <c r="NN34" s="1">
        <v>47421769.399999999</v>
      </c>
      <c r="NO34" s="1">
        <v>7.8282566149883007E-2</v>
      </c>
      <c r="NP34" s="1"/>
      <c r="NQ34" s="22">
        <v>3567</v>
      </c>
      <c r="NR34" s="1" t="s">
        <v>44</v>
      </c>
      <c r="NS34" s="1">
        <v>2020</v>
      </c>
      <c r="NT34" s="1" t="s">
        <v>21</v>
      </c>
      <c r="NU34" s="1">
        <v>451996</v>
      </c>
      <c r="NV34" s="1">
        <v>5955345.3666666672</v>
      </c>
      <c r="NW34" s="1">
        <v>7.5897529390976604E-2</v>
      </c>
      <c r="NX34" s="1"/>
      <c r="NY34" s="22">
        <v>4763</v>
      </c>
      <c r="NZ34" s="1" t="s">
        <v>38</v>
      </c>
      <c r="OA34" s="1">
        <v>2020</v>
      </c>
      <c r="OB34" s="1" t="s">
        <v>21</v>
      </c>
      <c r="OC34" s="1">
        <v>486483.3</v>
      </c>
      <c r="OD34" s="1">
        <v>5990228.4000000004</v>
      </c>
      <c r="OE34" s="1">
        <v>8.1212813187557201E-2</v>
      </c>
      <c r="OF34" s="1"/>
      <c r="OG34" s="22">
        <v>5959</v>
      </c>
      <c r="OH34" s="1" t="s">
        <v>31</v>
      </c>
      <c r="OI34" s="1">
        <v>2020</v>
      </c>
      <c r="OJ34" s="1" t="s">
        <v>21</v>
      </c>
      <c r="OK34" s="1">
        <v>652099.30000000005</v>
      </c>
      <c r="OL34" s="1">
        <v>9257180.0999999996</v>
      </c>
      <c r="OM34" s="1">
        <v>7.0442542216500606E-2</v>
      </c>
      <c r="ON34" s="1"/>
      <c r="OO34" s="22">
        <v>7155</v>
      </c>
      <c r="OP34" s="1" t="s">
        <v>51</v>
      </c>
      <c r="OQ34" s="1">
        <v>2020</v>
      </c>
      <c r="OR34" s="1" t="s">
        <v>21</v>
      </c>
      <c r="OS34" s="1">
        <v>400865.3</v>
      </c>
      <c r="OT34" s="1">
        <v>4352046.4000000004</v>
      </c>
      <c r="OU34" s="1">
        <v>9.2109610779884998E-2</v>
      </c>
      <c r="OV34" s="1"/>
      <c r="OW34" s="22">
        <v>8351</v>
      </c>
      <c r="OX34" s="1" t="s">
        <v>57</v>
      </c>
      <c r="OY34" s="1">
        <v>2020</v>
      </c>
      <c r="OZ34" s="1" t="s">
        <v>21</v>
      </c>
      <c r="PA34" s="1">
        <v>1019693.8</v>
      </c>
      <c r="PB34" s="1">
        <v>11082248.733333331</v>
      </c>
      <c r="PC34" s="1">
        <v>9.2011452236489794E-2</v>
      </c>
      <c r="PD34" s="1"/>
      <c r="PE34" s="22">
        <v>8397</v>
      </c>
      <c r="PF34" s="1" t="s">
        <v>17</v>
      </c>
      <c r="PG34" s="1">
        <v>2021</v>
      </c>
      <c r="PH34" s="1" t="s">
        <v>21</v>
      </c>
      <c r="PI34" s="1">
        <v>332135.5573009277</v>
      </c>
      <c r="PJ34" s="1">
        <v>4622999.2247741111</v>
      </c>
      <c r="PK34" s="1">
        <v>7.1844173263333505E-2</v>
      </c>
      <c r="PL34" s="1"/>
      <c r="PM34" s="22">
        <v>9317</v>
      </c>
      <c r="PN34" s="1" t="s">
        <v>61</v>
      </c>
      <c r="PO34" s="1">
        <v>2021</v>
      </c>
      <c r="PP34" s="1" t="s">
        <v>21</v>
      </c>
      <c r="PQ34" s="1">
        <v>4116851.876752472</v>
      </c>
      <c r="PR34" s="1">
        <v>52589638.782026872</v>
      </c>
      <c r="PS34" s="1">
        <v>7.8282566149883007E-2</v>
      </c>
      <c r="PT34" s="1"/>
      <c r="PU34" s="22">
        <v>10237</v>
      </c>
      <c r="PV34" s="1" t="s">
        <v>44</v>
      </c>
      <c r="PW34" s="1">
        <v>2021</v>
      </c>
      <c r="PX34" s="1" t="s">
        <v>21</v>
      </c>
      <c r="PY34" s="1">
        <v>526838.69901141326</v>
      </c>
      <c r="PZ34" s="1">
        <v>6941447.2808129201</v>
      </c>
      <c r="QA34" s="1">
        <v>7.5897529390976604E-2</v>
      </c>
      <c r="QB34" s="1"/>
      <c r="QC34" s="22">
        <v>11157</v>
      </c>
      <c r="QD34" s="1" t="s">
        <v>38</v>
      </c>
      <c r="QE34" s="1">
        <v>2021</v>
      </c>
      <c r="QF34" s="1" t="s">
        <v>21</v>
      </c>
      <c r="QG34" s="1">
        <v>544998.79363087355</v>
      </c>
      <c r="QH34" s="1">
        <v>6710748.8614170318</v>
      </c>
      <c r="QI34" s="1">
        <v>8.1212813187557201E-2</v>
      </c>
      <c r="QJ34" s="1"/>
      <c r="QK34" s="22">
        <v>12077</v>
      </c>
      <c r="QL34" s="1" t="s">
        <v>31</v>
      </c>
      <c r="QM34" s="1">
        <v>2021</v>
      </c>
      <c r="QN34" s="1" t="s">
        <v>21</v>
      </c>
      <c r="QO34" s="1">
        <v>719650.41500809544</v>
      </c>
      <c r="QP34" s="1">
        <v>10216133.49495957</v>
      </c>
      <c r="QQ34" s="1">
        <v>7.0442542216500606E-2</v>
      </c>
      <c r="QR34" s="1"/>
      <c r="QS34" s="22">
        <v>12997</v>
      </c>
      <c r="QT34" s="1" t="s">
        <v>51</v>
      </c>
      <c r="QU34" s="1">
        <v>2021</v>
      </c>
      <c r="QV34" s="1" t="s">
        <v>21</v>
      </c>
      <c r="QW34" s="1">
        <v>457970.55298771121</v>
      </c>
      <c r="QX34" s="1">
        <v>4972017.0252605537</v>
      </c>
      <c r="QY34" s="1">
        <v>9.2109610779884998E-2</v>
      </c>
      <c r="QZ34" s="1"/>
      <c r="RA34" s="22">
        <v>13917</v>
      </c>
      <c r="RB34" s="1" t="s">
        <v>57</v>
      </c>
      <c r="RC34" s="1">
        <v>2021</v>
      </c>
      <c r="RD34" s="1" t="s">
        <v>21</v>
      </c>
      <c r="RE34" s="1">
        <v>1016683.586153338</v>
      </c>
      <c r="RF34" s="1">
        <v>11049533.09007922</v>
      </c>
      <c r="RG34" s="1">
        <v>9.2011452236489794E-2</v>
      </c>
      <c r="RH34" s="1"/>
      <c r="RI34" s="22">
        <v>8443</v>
      </c>
      <c r="RJ34" s="1" t="s">
        <v>17</v>
      </c>
      <c r="RK34" s="1">
        <v>2022</v>
      </c>
      <c r="RL34" s="1" t="s">
        <v>21</v>
      </c>
      <c r="RM34" s="1">
        <v>359731.13167037099</v>
      </c>
      <c r="RN34" s="1">
        <v>5007102.3902221443</v>
      </c>
      <c r="RO34" s="1">
        <v>7.1844173263333505E-2</v>
      </c>
      <c r="RP34" s="1"/>
      <c r="RQ34" s="22">
        <v>9363</v>
      </c>
      <c r="RR34" s="1" t="s">
        <v>61</v>
      </c>
      <c r="RS34" s="1">
        <v>2022</v>
      </c>
      <c r="RT34" s="1" t="s">
        <v>21</v>
      </c>
      <c r="RU34" s="1">
        <v>4521162.5708795944</v>
      </c>
      <c r="RV34" s="1">
        <v>57754399.13688051</v>
      </c>
      <c r="RW34" s="1">
        <v>7.8282566149883007E-2</v>
      </c>
      <c r="RX34" s="1"/>
      <c r="RY34" s="22">
        <v>10283</v>
      </c>
      <c r="RZ34" s="1" t="s">
        <v>44</v>
      </c>
      <c r="SA34" s="1">
        <v>2022</v>
      </c>
      <c r="SB34" s="1" t="s">
        <v>21</v>
      </c>
      <c r="SC34" s="1">
        <v>521931.20085435192</v>
      </c>
      <c r="SD34" s="1">
        <v>6876787.7563667288</v>
      </c>
      <c r="SE34" s="1">
        <v>7.5897529390976604E-2</v>
      </c>
      <c r="SF34" s="1"/>
      <c r="SG34" s="22">
        <v>11203</v>
      </c>
      <c r="SH34" s="1" t="s">
        <v>38</v>
      </c>
      <c r="SI34" s="1">
        <v>2022</v>
      </c>
      <c r="SJ34" s="1" t="s">
        <v>21</v>
      </c>
      <c r="SK34" s="1">
        <v>513742.15020412143</v>
      </c>
      <c r="SL34" s="1">
        <v>6325875.5612572851</v>
      </c>
      <c r="SM34" s="1">
        <v>8.1212813187557201E-2</v>
      </c>
      <c r="SN34" s="1"/>
      <c r="SO34" s="22">
        <v>12123</v>
      </c>
      <c r="SP34" s="1" t="s">
        <v>31</v>
      </c>
      <c r="SQ34" s="1">
        <v>2022</v>
      </c>
      <c r="SR34" s="1" t="s">
        <v>21</v>
      </c>
      <c r="SS34" s="1">
        <v>689082.27765510802</v>
      </c>
      <c r="ST34" s="1">
        <v>9782189.227885304</v>
      </c>
      <c r="SU34" s="1">
        <v>7.0442542216500606E-2</v>
      </c>
      <c r="SV34" s="1"/>
      <c r="SW34" s="22">
        <v>13043</v>
      </c>
      <c r="SX34" s="1" t="s">
        <v>51</v>
      </c>
      <c r="SY34" s="1">
        <v>2022</v>
      </c>
      <c r="SZ34" s="1" t="s">
        <v>21</v>
      </c>
      <c r="TA34" s="1">
        <v>442179.55195912888</v>
      </c>
      <c r="TB34" s="1">
        <v>4800579.963537232</v>
      </c>
      <c r="TC34" s="1">
        <v>9.2109610779884998E-2</v>
      </c>
      <c r="TD34" s="1"/>
      <c r="TE34" s="22">
        <v>13963</v>
      </c>
      <c r="TF34" s="1" t="s">
        <v>57</v>
      </c>
      <c r="TG34" s="1">
        <v>2022</v>
      </c>
      <c r="TH34" s="1" t="s">
        <v>21</v>
      </c>
      <c r="TI34" s="1">
        <v>859980.97271070618</v>
      </c>
      <c r="TJ34" s="1">
        <v>9346455.8140041605</v>
      </c>
      <c r="TK34" s="1">
        <v>9.2011452236489794E-2</v>
      </c>
      <c r="TL34" s="1"/>
      <c r="TM34" s="22">
        <v>8489</v>
      </c>
      <c r="TN34" s="1" t="s">
        <v>17</v>
      </c>
      <c r="TO34" s="1">
        <v>2023</v>
      </c>
      <c r="TP34" s="1" t="s">
        <v>21</v>
      </c>
      <c r="TQ34" s="1">
        <v>356927.7248115578</v>
      </c>
      <c r="TR34" s="1">
        <v>4968081.7329930915</v>
      </c>
      <c r="TS34" s="1">
        <v>7.1844173263333505E-2</v>
      </c>
      <c r="TT34" s="1"/>
      <c r="TU34" s="22">
        <v>9409</v>
      </c>
      <c r="TV34" s="1" t="s">
        <v>61</v>
      </c>
      <c r="TW34" s="1">
        <v>2023</v>
      </c>
      <c r="TX34" s="1" t="s">
        <v>21</v>
      </c>
      <c r="TY34" s="1">
        <v>4819097.6732552499</v>
      </c>
      <c r="TZ34" s="1">
        <v>61560292.543660469</v>
      </c>
      <c r="UA34" s="1">
        <v>7.8282566149883007E-2</v>
      </c>
      <c r="UB34" s="1"/>
      <c r="UC34" s="22">
        <v>10329</v>
      </c>
      <c r="UD34" s="1" t="s">
        <v>44</v>
      </c>
      <c r="UE34" s="1">
        <v>2023</v>
      </c>
      <c r="UF34" s="1" t="s">
        <v>21</v>
      </c>
      <c r="UG34" s="1">
        <v>564808.11952031637</v>
      </c>
      <c r="UH34" s="1">
        <v>7441719.4347760417</v>
      </c>
      <c r="UI34" s="1">
        <v>7.5897529390976604E-2</v>
      </c>
      <c r="UJ34" s="1"/>
      <c r="UK34" s="22">
        <v>11249</v>
      </c>
      <c r="UL34" s="1" t="s">
        <v>38</v>
      </c>
      <c r="UM34" s="1">
        <v>2023</v>
      </c>
      <c r="UN34" s="1" t="s">
        <v>21</v>
      </c>
      <c r="UO34" s="1">
        <v>560688.66225277819</v>
      </c>
      <c r="UP34" s="1">
        <v>6903943.3587640161</v>
      </c>
      <c r="UQ34" s="1">
        <v>8.1212813187557201E-2</v>
      </c>
      <c r="UR34" s="1"/>
      <c r="US34" s="22">
        <v>12169</v>
      </c>
      <c r="UT34" s="1" t="s">
        <v>31</v>
      </c>
      <c r="UU34" s="1">
        <v>2023</v>
      </c>
      <c r="UV34" s="1" t="s">
        <v>21</v>
      </c>
      <c r="UW34" s="1">
        <v>749010.39100387215</v>
      </c>
      <c r="UX34" s="1">
        <v>10632926.743356841</v>
      </c>
      <c r="UY34" s="1">
        <v>7.0442542216500606E-2</v>
      </c>
      <c r="UZ34" s="1"/>
      <c r="VA34" s="22">
        <v>13089</v>
      </c>
      <c r="VB34" s="1" t="s">
        <v>51</v>
      </c>
      <c r="VC34" s="1">
        <v>2023</v>
      </c>
      <c r="VD34" s="1" t="s">
        <v>21</v>
      </c>
      <c r="VE34" s="1">
        <v>484323.91376737849</v>
      </c>
      <c r="VF34" s="1">
        <v>5258125.7228930313</v>
      </c>
      <c r="VG34" s="1">
        <v>9.2109610779884998E-2</v>
      </c>
      <c r="VH34" s="1"/>
      <c r="VI34" s="22">
        <v>14009</v>
      </c>
      <c r="VJ34" s="1" t="s">
        <v>57</v>
      </c>
      <c r="VK34" s="1">
        <v>2023</v>
      </c>
      <c r="VL34" s="1" t="s">
        <v>21</v>
      </c>
      <c r="VM34" s="1">
        <v>850036.37214086822</v>
      </c>
      <c r="VN34" s="1">
        <v>9238375.7834414635</v>
      </c>
      <c r="VO34" s="1">
        <v>9.2011452236489794E-2</v>
      </c>
      <c r="VP34" s="1"/>
      <c r="VQ34" s="22">
        <v>8535</v>
      </c>
      <c r="VR34" s="1" t="s">
        <v>17</v>
      </c>
      <c r="VS34" s="1">
        <v>2024</v>
      </c>
      <c r="VT34" s="1" t="s">
        <v>21</v>
      </c>
      <c r="VU34" s="1">
        <v>368080.58713036327</v>
      </c>
      <c r="VV34" s="1">
        <v>5123318.5714479852</v>
      </c>
      <c r="VW34" s="1">
        <v>7.1844173263333505E-2</v>
      </c>
      <c r="VX34" s="1"/>
      <c r="VY34" s="22">
        <v>9455</v>
      </c>
      <c r="VZ34" s="1" t="s">
        <v>61</v>
      </c>
      <c r="WA34" s="1">
        <v>2024</v>
      </c>
      <c r="WB34" s="1" t="s">
        <v>21</v>
      </c>
      <c r="WC34" s="1">
        <v>5073641.1304255361</v>
      </c>
      <c r="WD34" s="1">
        <v>64811890.820126347</v>
      </c>
      <c r="WE34" s="1">
        <v>7.8282566149883007E-2</v>
      </c>
      <c r="WF34" s="1"/>
      <c r="WG34" s="22">
        <v>10375</v>
      </c>
      <c r="WH34" s="1" t="s">
        <v>44</v>
      </c>
      <c r="WI34" s="1">
        <v>2024</v>
      </c>
      <c r="WJ34" s="1" t="s">
        <v>21</v>
      </c>
      <c r="WK34" s="1">
        <v>610727.08366273809</v>
      </c>
      <c r="WL34" s="1">
        <v>8046732.0684004631</v>
      </c>
      <c r="WM34" s="1">
        <v>7.5897529390976604E-2</v>
      </c>
      <c r="WN34" s="1"/>
      <c r="WO34" s="22">
        <v>11295</v>
      </c>
      <c r="WP34" s="1" t="s">
        <v>38</v>
      </c>
      <c r="WQ34" s="1">
        <v>2024</v>
      </c>
      <c r="WR34" s="1" t="s">
        <v>21</v>
      </c>
      <c r="WS34" s="1">
        <v>580944.0254326961</v>
      </c>
      <c r="WT34" s="1">
        <v>7153354.2877160665</v>
      </c>
      <c r="WU34" s="1">
        <v>8.1212813187557201E-2</v>
      </c>
      <c r="WV34" s="1"/>
      <c r="WW34" s="22">
        <v>12215</v>
      </c>
      <c r="WX34" s="1" t="s">
        <v>31</v>
      </c>
      <c r="WY34" s="1">
        <v>2024</v>
      </c>
      <c r="WZ34" s="1" t="s">
        <v>21</v>
      </c>
      <c r="XA34" s="1">
        <v>771225.66483652778</v>
      </c>
      <c r="XB34" s="1">
        <v>10948294.03609846</v>
      </c>
      <c r="XC34" s="1">
        <v>7.0442542216500606E-2</v>
      </c>
      <c r="XD34" s="1"/>
      <c r="XE34" s="22">
        <v>13135</v>
      </c>
      <c r="XF34" s="1" t="s">
        <v>51</v>
      </c>
      <c r="XG34" s="1">
        <v>2024</v>
      </c>
      <c r="XH34" s="1" t="s">
        <v>21</v>
      </c>
      <c r="XI34" s="1">
        <v>498648.03713852802</v>
      </c>
      <c r="XJ34" s="1">
        <v>5413637.436055948</v>
      </c>
      <c r="XK34" s="1">
        <v>9.2109610779884998E-2</v>
      </c>
      <c r="XL34" s="1"/>
      <c r="XM34" s="22">
        <v>14055</v>
      </c>
      <c r="XN34" s="1" t="s">
        <v>57</v>
      </c>
      <c r="XO34" s="1">
        <v>2024</v>
      </c>
      <c r="XP34" s="1" t="s">
        <v>21</v>
      </c>
      <c r="XQ34" s="1">
        <v>812315.89085588418</v>
      </c>
      <c r="XR34" s="1">
        <v>8828421.583522588</v>
      </c>
      <c r="XS34" s="1">
        <v>9.2011452236489794E-2</v>
      </c>
      <c r="XT34" s="1"/>
    </row>
    <row r="35" spans="1:644" x14ac:dyDescent="0.25">
      <c r="A35" s="2">
        <v>26</v>
      </c>
      <c r="B35" s="1" t="s">
        <v>17</v>
      </c>
      <c r="C35" s="1" t="s">
        <v>52</v>
      </c>
      <c r="D35" s="1">
        <v>2.037152835090204E-2</v>
      </c>
      <c r="E35" s="1">
        <v>2.0795335466698889E-2</v>
      </c>
      <c r="F35" s="1">
        <v>2.101292166932734E-2</v>
      </c>
      <c r="G35" s="1">
        <v>2.096140975615067E-2</v>
      </c>
      <c r="H35" s="1">
        <v>2.1762576964592741E-2</v>
      </c>
      <c r="I35" s="1">
        <v>2.1601672478236949E-2</v>
      </c>
      <c r="J35" s="1">
        <v>2.0278870033317641E-2</v>
      </c>
      <c r="K35" s="1">
        <v>2.0278870033317641E-2</v>
      </c>
      <c r="L35" s="1">
        <v>2.0278870033317641E-2</v>
      </c>
      <c r="M35" s="1">
        <v>2.0278870033317641E-2</v>
      </c>
      <c r="N35" s="1">
        <v>2.0278870033317641E-2</v>
      </c>
      <c r="O35" s="1">
        <v>2.0718163168408799E-2</v>
      </c>
      <c r="P35" s="1"/>
      <c r="Q35" s="2">
        <v>217</v>
      </c>
      <c r="R35" s="1" t="s">
        <v>51</v>
      </c>
      <c r="S35" s="1" t="s">
        <v>23</v>
      </c>
      <c r="T35" s="1">
        <v>5.8846965146753466E-3</v>
      </c>
      <c r="U35" s="1"/>
      <c r="AC35" s="22">
        <v>900</v>
      </c>
      <c r="AD35" s="1" t="s">
        <v>17</v>
      </c>
      <c r="AE35" s="1">
        <v>2014</v>
      </c>
      <c r="AF35" s="1" t="s">
        <v>52</v>
      </c>
      <c r="AG35" s="1">
        <v>83283.199999999997</v>
      </c>
      <c r="AH35" s="1">
        <v>4088215.6</v>
      </c>
      <c r="AI35" s="1">
        <v>2.0371528350901998E-2</v>
      </c>
      <c r="AJ35" s="1"/>
      <c r="AK35" s="22">
        <v>2096</v>
      </c>
      <c r="AL35" s="1" t="s">
        <v>61</v>
      </c>
      <c r="AM35" s="1">
        <v>2014</v>
      </c>
      <c r="AN35" s="1" t="s">
        <v>52</v>
      </c>
      <c r="AO35" s="1">
        <v>526128.80000000005</v>
      </c>
      <c r="AP35" s="1">
        <v>40350049.200000003</v>
      </c>
      <c r="AQ35" s="1">
        <v>1.30391117342181E-2</v>
      </c>
      <c r="AR35" s="1"/>
      <c r="AS35" s="22">
        <v>3292</v>
      </c>
      <c r="AT35" s="1" t="s">
        <v>44</v>
      </c>
      <c r="AU35" s="1">
        <v>2014</v>
      </c>
      <c r="AV35" s="1" t="s">
        <v>52</v>
      </c>
      <c r="AW35" s="1">
        <v>96516.4</v>
      </c>
      <c r="AX35" s="1">
        <v>6735816.8000000007</v>
      </c>
      <c r="AY35" s="1">
        <v>1.4328833883961899E-2</v>
      </c>
      <c r="AZ35" s="1"/>
      <c r="BA35" s="22">
        <v>4488</v>
      </c>
      <c r="BB35" s="1" t="s">
        <v>38</v>
      </c>
      <c r="BC35" s="1">
        <v>2014</v>
      </c>
      <c r="BD35" s="1" t="s">
        <v>52</v>
      </c>
      <c r="BE35" s="1">
        <v>111169.60000000001</v>
      </c>
      <c r="BF35" s="1">
        <v>6538596.7000000002</v>
      </c>
      <c r="BG35" s="1">
        <v>1.7002057949223201E-2</v>
      </c>
      <c r="BH35" s="1"/>
      <c r="BI35" s="22">
        <v>5684</v>
      </c>
      <c r="BJ35" s="1" t="s">
        <v>31</v>
      </c>
      <c r="BK35" s="1">
        <v>2014</v>
      </c>
      <c r="BL35" s="1" t="s">
        <v>52</v>
      </c>
      <c r="BM35" s="1">
        <v>128012.2</v>
      </c>
      <c r="BN35" s="1">
        <v>9155477.5</v>
      </c>
      <c r="BO35" s="1">
        <v>1.3982034252173E-2</v>
      </c>
      <c r="BP35" s="1"/>
      <c r="BQ35" s="22">
        <v>6880</v>
      </c>
      <c r="BR35" s="1" t="s">
        <v>51</v>
      </c>
      <c r="BS35" s="1">
        <v>2014</v>
      </c>
      <c r="BT35" s="1" t="s">
        <v>52</v>
      </c>
      <c r="BU35" s="1">
        <v>118522.3</v>
      </c>
      <c r="BV35" s="1">
        <v>4981875.5</v>
      </c>
      <c r="BW35" s="1">
        <v>2.3790698904458701E-2</v>
      </c>
      <c r="BX35" s="1"/>
      <c r="BY35" s="22">
        <v>8076</v>
      </c>
      <c r="BZ35" s="1" t="s">
        <v>57</v>
      </c>
      <c r="CA35" s="1">
        <v>2014</v>
      </c>
      <c r="CB35" s="1" t="s">
        <v>52</v>
      </c>
      <c r="CC35" s="1">
        <v>216929.4</v>
      </c>
      <c r="CD35" s="1">
        <v>11026913.800000001</v>
      </c>
      <c r="CE35" s="1">
        <v>1.9672721119847601E-2</v>
      </c>
      <c r="CF35" s="1"/>
      <c r="CG35" s="22">
        <v>946</v>
      </c>
      <c r="CH35" s="1" t="s">
        <v>17</v>
      </c>
      <c r="CI35" s="1">
        <v>2015</v>
      </c>
      <c r="CJ35" s="1" t="s">
        <v>52</v>
      </c>
      <c r="CK35" s="1">
        <v>73930.2</v>
      </c>
      <c r="CL35" s="1">
        <v>3555133.8</v>
      </c>
      <c r="CM35" s="1">
        <v>2.0795335466698799E-2</v>
      </c>
      <c r="CN35" s="1"/>
      <c r="CO35" s="22">
        <v>2142</v>
      </c>
      <c r="CP35" s="1" t="s">
        <v>61</v>
      </c>
      <c r="CQ35" s="1">
        <v>2015</v>
      </c>
      <c r="CR35" s="1" t="s">
        <v>52</v>
      </c>
      <c r="CS35" s="1">
        <v>524343</v>
      </c>
      <c r="CT35" s="1">
        <v>41208556.399999999</v>
      </c>
      <c r="CU35" s="1">
        <v>1.2724129302428E-2</v>
      </c>
      <c r="CV35" s="1"/>
      <c r="CW35" s="22">
        <v>3338</v>
      </c>
      <c r="CX35" s="1" t="s">
        <v>44</v>
      </c>
      <c r="CY35" s="1">
        <v>2015</v>
      </c>
      <c r="CZ35" s="1" t="s">
        <v>52</v>
      </c>
      <c r="DA35" s="1">
        <v>90952.3</v>
      </c>
      <c r="DB35" s="1">
        <v>6404349.4000000004</v>
      </c>
      <c r="DC35" s="1">
        <v>1.4201645525461101E-2</v>
      </c>
      <c r="DD35" s="1"/>
      <c r="DE35" s="22">
        <v>4534</v>
      </c>
      <c r="DF35" s="1" t="s">
        <v>38</v>
      </c>
      <c r="DG35" s="1">
        <v>2015</v>
      </c>
      <c r="DH35" s="1" t="s">
        <v>52</v>
      </c>
      <c r="DI35" s="1">
        <v>94066.5</v>
      </c>
      <c r="DJ35" s="1">
        <v>5531517.5999999996</v>
      </c>
      <c r="DK35" s="1">
        <v>1.7005550158603801E-2</v>
      </c>
      <c r="DL35" s="1"/>
      <c r="DM35" s="22">
        <v>5730</v>
      </c>
      <c r="DN35" s="1" t="s">
        <v>31</v>
      </c>
      <c r="DO35" s="1">
        <v>2015</v>
      </c>
      <c r="DP35" s="1" t="s">
        <v>52</v>
      </c>
      <c r="DQ35" s="1">
        <v>110463.5</v>
      </c>
      <c r="DR35" s="1">
        <v>7894528</v>
      </c>
      <c r="DS35" s="1">
        <v>1.3992413479311201E-2</v>
      </c>
      <c r="DT35" s="1"/>
      <c r="DU35" s="22">
        <v>6926</v>
      </c>
      <c r="DV35" s="1" t="s">
        <v>51</v>
      </c>
      <c r="DW35" s="1">
        <v>2015</v>
      </c>
      <c r="DX35" s="1" t="s">
        <v>52</v>
      </c>
      <c r="DY35" s="1">
        <v>100855.3</v>
      </c>
      <c r="DZ35" s="1">
        <v>4209274.5999999996</v>
      </c>
      <c r="EA35" s="1">
        <v>2.3960256715016798E-2</v>
      </c>
      <c r="EB35" s="1"/>
      <c r="EC35" s="22">
        <v>8122</v>
      </c>
      <c r="ED35" s="1" t="s">
        <v>57</v>
      </c>
      <c r="EE35" s="1">
        <v>2015</v>
      </c>
      <c r="EF35" s="1" t="s">
        <v>52</v>
      </c>
      <c r="EG35" s="1">
        <v>190372.3</v>
      </c>
      <c r="EH35" s="1">
        <v>9729477.0999999996</v>
      </c>
      <c r="EI35" s="1">
        <v>1.9566549984479601E-2</v>
      </c>
      <c r="EJ35" s="1"/>
      <c r="EK35" s="22">
        <v>992</v>
      </c>
      <c r="EL35" s="1" t="s">
        <v>17</v>
      </c>
      <c r="EM35" s="1">
        <v>2016</v>
      </c>
      <c r="EN35" s="1" t="s">
        <v>52</v>
      </c>
      <c r="EO35" s="1">
        <v>72776.3</v>
      </c>
      <c r="EP35" s="1">
        <v>3463407</v>
      </c>
      <c r="EQ35" s="1">
        <v>2.1012921669327299E-2</v>
      </c>
      <c r="ER35" s="1"/>
      <c r="ES35" s="22">
        <v>2188</v>
      </c>
      <c r="ET35" s="1" t="s">
        <v>61</v>
      </c>
      <c r="EU35" s="1">
        <v>2016</v>
      </c>
      <c r="EV35" s="1" t="s">
        <v>52</v>
      </c>
      <c r="EW35" s="1">
        <v>519012.4</v>
      </c>
      <c r="EX35" s="1">
        <v>42141395.200000003</v>
      </c>
      <c r="EY35" s="1">
        <v>1.23159757178613E-2</v>
      </c>
      <c r="EZ35" s="1"/>
      <c r="FA35" s="22">
        <v>3384</v>
      </c>
      <c r="FB35" s="1" t="s">
        <v>44</v>
      </c>
      <c r="FC35" s="1">
        <v>2016</v>
      </c>
      <c r="FD35" s="1" t="s">
        <v>52</v>
      </c>
      <c r="FE35" s="1">
        <v>81732</v>
      </c>
      <c r="FF35" s="1">
        <v>5868597.7999999998</v>
      </c>
      <c r="FG35" s="1">
        <v>1.39270065500143E-2</v>
      </c>
      <c r="FH35" s="1"/>
      <c r="FI35" s="22">
        <v>4580</v>
      </c>
      <c r="FJ35" s="1" t="s">
        <v>38</v>
      </c>
      <c r="FK35" s="1">
        <v>2016</v>
      </c>
      <c r="FL35" s="1" t="s">
        <v>52</v>
      </c>
      <c r="FM35" s="1">
        <v>96731.4</v>
      </c>
      <c r="FN35" s="1">
        <v>5582986.5</v>
      </c>
      <c r="FO35" s="1">
        <v>1.7326103152855502E-2</v>
      </c>
      <c r="FP35" s="1"/>
      <c r="FQ35" s="22">
        <v>5776</v>
      </c>
      <c r="FR35" s="1" t="s">
        <v>31</v>
      </c>
      <c r="FS35" s="1">
        <v>2016</v>
      </c>
      <c r="FT35" s="1" t="s">
        <v>52</v>
      </c>
      <c r="FU35" s="1">
        <v>111744.6</v>
      </c>
      <c r="FV35" s="1">
        <v>8130820.9000000004</v>
      </c>
      <c r="FW35" s="1">
        <v>1.37433355591438E-2</v>
      </c>
      <c r="FX35" s="1"/>
      <c r="FY35" s="22">
        <v>6972</v>
      </c>
      <c r="FZ35" s="1" t="s">
        <v>51</v>
      </c>
      <c r="GA35" s="1">
        <v>2016</v>
      </c>
      <c r="GB35" s="1" t="s">
        <v>52</v>
      </c>
      <c r="GC35" s="1">
        <v>102292.4</v>
      </c>
      <c r="GD35" s="1">
        <v>4230502.5999999996</v>
      </c>
      <c r="GE35" s="1">
        <v>2.41797274867529E-2</v>
      </c>
      <c r="GF35" s="1"/>
      <c r="GG35" s="22">
        <v>8168</v>
      </c>
      <c r="GH35" s="1" t="s">
        <v>57</v>
      </c>
      <c r="GI35" s="1">
        <v>2016</v>
      </c>
      <c r="GJ35" s="1" t="s">
        <v>52</v>
      </c>
      <c r="GK35" s="1">
        <v>213129.9</v>
      </c>
      <c r="GL35" s="1">
        <v>10773649.5</v>
      </c>
      <c r="GM35" s="1">
        <v>1.9782516592914901E-2</v>
      </c>
      <c r="GN35" s="1"/>
      <c r="GO35" s="22">
        <v>1038</v>
      </c>
      <c r="GP35" s="1" t="s">
        <v>17</v>
      </c>
      <c r="GQ35" s="1">
        <v>2017</v>
      </c>
      <c r="GR35" s="1" t="s">
        <v>52</v>
      </c>
      <c r="GS35" s="1">
        <v>77970.899999999994</v>
      </c>
      <c r="GT35" s="1">
        <v>3719735.5</v>
      </c>
      <c r="GU35" s="1">
        <v>2.0961409756150601E-2</v>
      </c>
      <c r="GV35" s="1"/>
      <c r="GW35" s="22">
        <v>2234</v>
      </c>
      <c r="GX35" s="1" t="s">
        <v>61</v>
      </c>
      <c r="GY35" s="1">
        <v>2017</v>
      </c>
      <c r="GZ35" s="1" t="s">
        <v>52</v>
      </c>
      <c r="HA35" s="1">
        <v>559640</v>
      </c>
      <c r="HB35" s="1">
        <v>44107004.100000001</v>
      </c>
      <c r="HC35" s="1">
        <v>1.26882342480386E-2</v>
      </c>
      <c r="HD35" s="1"/>
      <c r="HE35" s="22">
        <v>3430</v>
      </c>
      <c r="HF35" s="1" t="s">
        <v>44</v>
      </c>
      <c r="HG35" s="1">
        <v>2017</v>
      </c>
      <c r="HH35" s="1" t="s">
        <v>52</v>
      </c>
      <c r="HI35" s="1">
        <v>79200.5</v>
      </c>
      <c r="HJ35" s="1">
        <v>5855367.5</v>
      </c>
      <c r="HK35" s="1">
        <v>1.3526136489298001E-2</v>
      </c>
      <c r="HL35" s="1"/>
      <c r="HM35" s="22">
        <v>4626</v>
      </c>
      <c r="HN35" s="1" t="s">
        <v>38</v>
      </c>
      <c r="HO35" s="1">
        <v>2017</v>
      </c>
      <c r="HP35" s="1" t="s">
        <v>52</v>
      </c>
      <c r="HQ35" s="1">
        <v>102925</v>
      </c>
      <c r="HR35" s="1">
        <v>5923445.7000000002</v>
      </c>
      <c r="HS35" s="1">
        <v>1.7375866212464799E-2</v>
      </c>
      <c r="HT35" s="1"/>
      <c r="HU35" s="22">
        <v>5822</v>
      </c>
      <c r="HV35" s="1" t="s">
        <v>31</v>
      </c>
      <c r="HW35" s="1">
        <v>2017</v>
      </c>
      <c r="HX35" s="1" t="s">
        <v>52</v>
      </c>
      <c r="HY35" s="1">
        <v>117529.4</v>
      </c>
      <c r="HZ35" s="1">
        <v>8686095.3000000007</v>
      </c>
      <c r="IA35" s="1">
        <v>1.35307518442723E-2</v>
      </c>
      <c r="IB35" s="1"/>
      <c r="IC35" s="22">
        <v>7018</v>
      </c>
      <c r="ID35" s="1" t="s">
        <v>51</v>
      </c>
      <c r="IE35" s="1">
        <v>2017</v>
      </c>
      <c r="IF35" s="1" t="s">
        <v>52</v>
      </c>
      <c r="IG35" s="1">
        <v>106800.6</v>
      </c>
      <c r="IH35" s="1">
        <v>4472691.8</v>
      </c>
      <c r="II35" s="1">
        <v>2.3878372303676201E-2</v>
      </c>
      <c r="IJ35" s="1"/>
      <c r="IK35" s="22">
        <v>8214</v>
      </c>
      <c r="IL35" s="1" t="s">
        <v>57</v>
      </c>
      <c r="IM35" s="1">
        <v>2017</v>
      </c>
      <c r="IN35" s="1" t="s">
        <v>52</v>
      </c>
      <c r="IO35" s="1">
        <v>212949.4</v>
      </c>
      <c r="IP35" s="1">
        <v>10750260.5</v>
      </c>
      <c r="IQ35" s="1">
        <v>1.98087664945421E-2</v>
      </c>
      <c r="IR35" s="1"/>
      <c r="IS35" s="22">
        <v>1084</v>
      </c>
      <c r="IT35" s="1" t="s">
        <v>17</v>
      </c>
      <c r="IU35" s="1">
        <v>2018</v>
      </c>
      <c r="IV35" s="1" t="s">
        <v>52</v>
      </c>
      <c r="IW35" s="1">
        <v>84964.7</v>
      </c>
      <c r="IX35" s="1">
        <v>3904165.4</v>
      </c>
      <c r="IY35" s="1">
        <v>2.17625769645927E-2</v>
      </c>
      <c r="IZ35" s="1"/>
      <c r="JA35" s="22">
        <v>2280</v>
      </c>
      <c r="JB35" s="1" t="s">
        <v>61</v>
      </c>
      <c r="JC35" s="1">
        <v>2018</v>
      </c>
      <c r="JD35" s="1" t="s">
        <v>52</v>
      </c>
      <c r="JE35" s="1">
        <v>621702</v>
      </c>
      <c r="JF35" s="1">
        <v>46669099.200000003</v>
      </c>
      <c r="JG35" s="1">
        <v>1.33214913220352E-2</v>
      </c>
      <c r="JH35" s="1"/>
      <c r="JI35" s="22">
        <v>3476</v>
      </c>
      <c r="JJ35" s="1" t="s">
        <v>44</v>
      </c>
      <c r="JK35" s="1">
        <v>2018</v>
      </c>
      <c r="JL35" s="1" t="s">
        <v>52</v>
      </c>
      <c r="JM35" s="1">
        <v>87247.7</v>
      </c>
      <c r="JN35" s="1">
        <v>6336724.7000000002</v>
      </c>
      <c r="JO35" s="1">
        <v>1.37685798469357E-2</v>
      </c>
      <c r="JP35" s="1"/>
      <c r="JQ35" s="22">
        <v>4672</v>
      </c>
      <c r="JR35" s="1" t="s">
        <v>38</v>
      </c>
      <c r="JS35" s="1">
        <v>2018</v>
      </c>
      <c r="JT35" s="1" t="s">
        <v>52</v>
      </c>
      <c r="JU35" s="1">
        <v>111669.7</v>
      </c>
      <c r="JV35" s="1">
        <v>6390706</v>
      </c>
      <c r="JW35" s="1">
        <v>1.7473765809286099E-2</v>
      </c>
      <c r="JX35" s="1"/>
      <c r="JY35" s="22">
        <v>5868</v>
      </c>
      <c r="JZ35" s="1" t="s">
        <v>31</v>
      </c>
      <c r="KA35" s="1">
        <v>2018</v>
      </c>
      <c r="KB35" s="1" t="s">
        <v>52</v>
      </c>
      <c r="KC35" s="1">
        <v>129561.4</v>
      </c>
      <c r="KD35" s="1">
        <v>9443218.3000000007</v>
      </c>
      <c r="KE35" s="1">
        <v>1.37200471157168E-2</v>
      </c>
      <c r="KF35" s="1"/>
      <c r="KG35" s="22">
        <v>7064</v>
      </c>
      <c r="KH35" s="1" t="s">
        <v>51</v>
      </c>
      <c r="KI35" s="1">
        <v>2018</v>
      </c>
      <c r="KJ35" s="1" t="s">
        <v>52</v>
      </c>
      <c r="KK35" s="1">
        <v>113108.8</v>
      </c>
      <c r="KL35" s="1">
        <v>4803387.8</v>
      </c>
      <c r="KM35" s="1">
        <v>2.35477135533383E-2</v>
      </c>
      <c r="KN35" s="1"/>
      <c r="KO35" s="22">
        <v>8260</v>
      </c>
      <c r="KP35" s="1" t="s">
        <v>57</v>
      </c>
      <c r="KQ35" s="1">
        <v>2018</v>
      </c>
      <c r="KR35" s="1" t="s">
        <v>52</v>
      </c>
      <c r="KS35" s="1">
        <v>221224.4</v>
      </c>
      <c r="KT35" s="1">
        <v>11172914.4</v>
      </c>
      <c r="KU35" s="1">
        <v>1.9800062193262601E-2</v>
      </c>
      <c r="KV35" s="1"/>
      <c r="KW35" s="22">
        <v>1130</v>
      </c>
      <c r="KX35" s="1" t="s">
        <v>17</v>
      </c>
      <c r="KY35" s="1">
        <v>2019</v>
      </c>
      <c r="KZ35" s="1" t="s">
        <v>52</v>
      </c>
      <c r="LA35" s="1">
        <v>85441.7</v>
      </c>
      <c r="LB35" s="1">
        <v>3955328</v>
      </c>
      <c r="LC35" s="1">
        <v>2.16016724782369E-2</v>
      </c>
      <c r="LD35" s="1"/>
      <c r="LE35" s="22">
        <v>2326</v>
      </c>
      <c r="LF35" s="1" t="s">
        <v>61</v>
      </c>
      <c r="LG35" s="1">
        <v>2019</v>
      </c>
      <c r="LH35" s="1" t="s">
        <v>52</v>
      </c>
      <c r="LI35" s="1">
        <v>635495</v>
      </c>
      <c r="LJ35" s="1">
        <v>48356774.5</v>
      </c>
      <c r="LK35" s="1">
        <v>1.3141798777335701E-2</v>
      </c>
      <c r="LL35" s="1"/>
      <c r="LM35" s="22">
        <v>3522</v>
      </c>
      <c r="LN35" s="1" t="s">
        <v>44</v>
      </c>
      <c r="LO35" s="1">
        <v>2019</v>
      </c>
      <c r="LP35" s="1" t="s">
        <v>52</v>
      </c>
      <c r="LQ35" s="1">
        <v>86243.3</v>
      </c>
      <c r="LR35" s="1">
        <v>6269787.0999999996</v>
      </c>
      <c r="LS35" s="1">
        <v>1.37553793493243E-2</v>
      </c>
      <c r="LT35" s="1"/>
      <c r="LU35" s="22">
        <v>4718</v>
      </c>
      <c r="LV35" s="1" t="s">
        <v>38</v>
      </c>
      <c r="LW35" s="1">
        <v>2019</v>
      </c>
      <c r="LX35" s="1" t="s">
        <v>52</v>
      </c>
      <c r="LY35" s="1">
        <v>109942.1</v>
      </c>
      <c r="LZ35" s="1">
        <v>6182094.5</v>
      </c>
      <c r="MA35" s="1">
        <v>1.7783956553883099E-2</v>
      </c>
      <c r="MB35" s="1"/>
      <c r="MC35" s="22">
        <v>5914</v>
      </c>
      <c r="MD35" s="1" t="s">
        <v>31</v>
      </c>
      <c r="ME35" s="1">
        <v>2019</v>
      </c>
      <c r="MF35" s="1" t="s">
        <v>52</v>
      </c>
      <c r="MG35" s="1">
        <v>129146.4</v>
      </c>
      <c r="MH35" s="1">
        <v>9237079</v>
      </c>
      <c r="MI35" s="1">
        <v>1.39813029638482E-2</v>
      </c>
      <c r="MJ35" s="1"/>
      <c r="MK35" s="22">
        <v>7110</v>
      </c>
      <c r="ML35" s="1" t="s">
        <v>51</v>
      </c>
      <c r="MM35" s="1">
        <v>2019</v>
      </c>
      <c r="MN35" s="1" t="s">
        <v>52</v>
      </c>
      <c r="MO35" s="1">
        <v>108946.5</v>
      </c>
      <c r="MP35" s="1">
        <v>4608662</v>
      </c>
      <c r="MQ35" s="1">
        <v>2.3639507518668099E-2</v>
      </c>
      <c r="MR35" s="1"/>
      <c r="MS35" s="22">
        <v>8306</v>
      </c>
      <c r="MT35" s="1" t="s">
        <v>57</v>
      </c>
      <c r="MU35" s="1">
        <v>2019</v>
      </c>
      <c r="MV35" s="1" t="s">
        <v>52</v>
      </c>
      <c r="MW35" s="1">
        <v>228724.7</v>
      </c>
      <c r="MX35" s="1">
        <v>11338077</v>
      </c>
      <c r="MY35" s="1">
        <v>2.01731475275745E-2</v>
      </c>
      <c r="MZ35" s="1"/>
      <c r="NA35" s="22">
        <v>1176</v>
      </c>
      <c r="NB35" s="1" t="s">
        <v>17</v>
      </c>
      <c r="NC35" s="1">
        <v>2020</v>
      </c>
      <c r="ND35" s="1" t="s">
        <v>52</v>
      </c>
      <c r="NE35" s="1">
        <v>76750.5</v>
      </c>
      <c r="NF35" s="1">
        <v>3784752.3</v>
      </c>
      <c r="NG35" s="1">
        <v>2.02788700333176E-2</v>
      </c>
      <c r="NH35" s="1"/>
      <c r="NI35" s="22">
        <v>2372</v>
      </c>
      <c r="NJ35" s="1" t="s">
        <v>61</v>
      </c>
      <c r="NK35" s="1">
        <v>2020</v>
      </c>
      <c r="NL35" s="1" t="s">
        <v>52</v>
      </c>
      <c r="NM35" s="1">
        <v>581772.4</v>
      </c>
      <c r="NN35" s="1">
        <v>47421769.399999999</v>
      </c>
      <c r="NO35" s="1">
        <v>1.22680449793592E-2</v>
      </c>
      <c r="NP35" s="1"/>
      <c r="NQ35" s="22">
        <v>3568</v>
      </c>
      <c r="NR35" s="1" t="s">
        <v>44</v>
      </c>
      <c r="NS35" s="1">
        <v>2020</v>
      </c>
      <c r="NT35" s="1" t="s">
        <v>52</v>
      </c>
      <c r="NU35" s="1">
        <v>68782</v>
      </c>
      <c r="NV35" s="1">
        <v>5955345.3666666672</v>
      </c>
      <c r="NW35" s="1">
        <v>1.15496240377573E-2</v>
      </c>
      <c r="NX35" s="1"/>
      <c r="NY35" s="22">
        <v>4764</v>
      </c>
      <c r="NZ35" s="1" t="s">
        <v>38</v>
      </c>
      <c r="OA35" s="1">
        <v>2020</v>
      </c>
      <c r="OB35" s="1" t="s">
        <v>52</v>
      </c>
      <c r="OC35" s="1">
        <v>101178.7</v>
      </c>
      <c r="OD35" s="1">
        <v>5990228.4000000004</v>
      </c>
      <c r="OE35" s="1">
        <v>1.68906247381151E-2</v>
      </c>
      <c r="OF35" s="1"/>
      <c r="OG35" s="22">
        <v>5960</v>
      </c>
      <c r="OH35" s="1" t="s">
        <v>31</v>
      </c>
      <c r="OI35" s="1">
        <v>2020</v>
      </c>
      <c r="OJ35" s="1" t="s">
        <v>52</v>
      </c>
      <c r="OK35" s="1">
        <v>122222.2</v>
      </c>
      <c r="OL35" s="1">
        <v>9257180.0999999996</v>
      </c>
      <c r="OM35" s="1">
        <v>1.32029623146253E-2</v>
      </c>
      <c r="ON35" s="1"/>
      <c r="OO35" s="22">
        <v>7156</v>
      </c>
      <c r="OP35" s="1" t="s">
        <v>51</v>
      </c>
      <c r="OQ35" s="1">
        <v>2020</v>
      </c>
      <c r="OR35" s="1" t="s">
        <v>52</v>
      </c>
      <c r="OS35" s="1">
        <v>101093.6</v>
      </c>
      <c r="OT35" s="1">
        <v>4352046.4000000004</v>
      </c>
      <c r="OU35" s="1">
        <v>2.32289802792543E-2</v>
      </c>
      <c r="OV35" s="1"/>
      <c r="OW35" s="22">
        <v>8352</v>
      </c>
      <c r="OX35" s="1" t="s">
        <v>57</v>
      </c>
      <c r="OY35" s="1">
        <v>2020</v>
      </c>
      <c r="OZ35" s="1" t="s">
        <v>52</v>
      </c>
      <c r="PA35" s="1">
        <v>188932.6</v>
      </c>
      <c r="PB35" s="1">
        <v>11082248.733333331</v>
      </c>
      <c r="PC35" s="1">
        <v>1.7048218691548201E-2</v>
      </c>
      <c r="PD35" s="1"/>
      <c r="PE35" s="22">
        <v>8398</v>
      </c>
      <c r="PF35" s="1" t="s">
        <v>17</v>
      </c>
      <c r="PG35" s="1">
        <v>2021</v>
      </c>
      <c r="PH35" s="1" t="s">
        <v>52</v>
      </c>
      <c r="PI35" s="1">
        <v>93749.200443322217</v>
      </c>
      <c r="PJ35" s="1">
        <v>4622999.2247741111</v>
      </c>
      <c r="PK35" s="1">
        <v>2.02788700333176E-2</v>
      </c>
      <c r="PL35" s="1"/>
      <c r="PM35" s="22">
        <v>9318</v>
      </c>
      <c r="PN35" s="1" t="s">
        <v>61</v>
      </c>
      <c r="PO35" s="1">
        <v>2021</v>
      </c>
      <c r="PP35" s="1" t="s">
        <v>52</v>
      </c>
      <c r="PQ35" s="1">
        <v>645172.05402615864</v>
      </c>
      <c r="PR35" s="1">
        <v>52589638.782026872</v>
      </c>
      <c r="PS35" s="1">
        <v>1.22680449793592E-2</v>
      </c>
      <c r="PT35" s="1"/>
      <c r="PU35" s="22">
        <v>10238</v>
      </c>
      <c r="PV35" s="1" t="s">
        <v>44</v>
      </c>
      <c r="PW35" s="1">
        <v>2021</v>
      </c>
      <c r="PX35" s="1" t="s">
        <v>52</v>
      </c>
      <c r="PY35" s="1">
        <v>80171.106371301954</v>
      </c>
      <c r="PZ35" s="1">
        <v>6941447.2808129201</v>
      </c>
      <c r="QA35" s="1">
        <v>1.15496240377573E-2</v>
      </c>
      <c r="QB35" s="1"/>
      <c r="QC35" s="22">
        <v>11158</v>
      </c>
      <c r="QD35" s="1" t="s">
        <v>38</v>
      </c>
      <c r="QE35" s="1">
        <v>2021</v>
      </c>
      <c r="QF35" s="1" t="s">
        <v>52</v>
      </c>
      <c r="QG35" s="1">
        <v>113348.74072992829</v>
      </c>
      <c r="QH35" s="1">
        <v>6710748.8614170318</v>
      </c>
      <c r="QI35" s="1">
        <v>1.68906247381151E-2</v>
      </c>
      <c r="QJ35" s="1"/>
      <c r="QK35" s="22">
        <v>12078</v>
      </c>
      <c r="QL35" s="1" t="s">
        <v>31</v>
      </c>
      <c r="QM35" s="1">
        <v>2021</v>
      </c>
      <c r="QN35" s="1" t="s">
        <v>52</v>
      </c>
      <c r="QO35" s="1">
        <v>134883.22553513249</v>
      </c>
      <c r="QP35" s="1">
        <v>10216133.49495957</v>
      </c>
      <c r="QQ35" s="1">
        <v>1.32029623146253E-2</v>
      </c>
      <c r="QR35" s="1"/>
      <c r="QS35" s="22">
        <v>12998</v>
      </c>
      <c r="QT35" s="1" t="s">
        <v>51</v>
      </c>
      <c r="QU35" s="1">
        <v>2021</v>
      </c>
      <c r="QV35" s="1" t="s">
        <v>52</v>
      </c>
      <c r="QW35" s="1">
        <v>115494.885427894</v>
      </c>
      <c r="QX35" s="1">
        <v>4972017.0252605537</v>
      </c>
      <c r="QY35" s="1">
        <v>2.32289802792543E-2</v>
      </c>
      <c r="QZ35" s="1"/>
      <c r="RA35" s="22">
        <v>13918</v>
      </c>
      <c r="RB35" s="1" t="s">
        <v>57</v>
      </c>
      <c r="RC35" s="1">
        <v>2021</v>
      </c>
      <c r="RD35" s="1" t="s">
        <v>52</v>
      </c>
      <c r="RE35" s="1">
        <v>188374.8565591689</v>
      </c>
      <c r="RF35" s="1">
        <v>11049533.09007922</v>
      </c>
      <c r="RG35" s="1">
        <v>1.7048218691548201E-2</v>
      </c>
      <c r="RH35" s="1"/>
      <c r="RI35" s="22">
        <v>8444</v>
      </c>
      <c r="RJ35" s="1" t="s">
        <v>17</v>
      </c>
      <c r="RK35" s="1">
        <v>2022</v>
      </c>
      <c r="RL35" s="1" t="s">
        <v>52</v>
      </c>
      <c r="RM35" s="1">
        <v>101538.37861482881</v>
      </c>
      <c r="RN35" s="1">
        <v>5007102.3902221443</v>
      </c>
      <c r="RO35" s="1">
        <v>2.02788700333176E-2</v>
      </c>
      <c r="RP35" s="1"/>
      <c r="RQ35" s="22">
        <v>9364</v>
      </c>
      <c r="RR35" s="1" t="s">
        <v>61</v>
      </c>
      <c r="RS35" s="1">
        <v>2022</v>
      </c>
      <c r="RT35" s="1" t="s">
        <v>52</v>
      </c>
      <c r="RU35" s="1">
        <v>708533.56636711431</v>
      </c>
      <c r="RV35" s="1">
        <v>57754399.13688051</v>
      </c>
      <c r="RW35" s="1">
        <v>1.22680449793592E-2</v>
      </c>
      <c r="RX35" s="1"/>
      <c r="RY35" s="22">
        <v>10284</v>
      </c>
      <c r="RZ35" s="1" t="s">
        <v>44</v>
      </c>
      <c r="SA35" s="1">
        <v>2022</v>
      </c>
      <c r="SB35" s="1" t="s">
        <v>52</v>
      </c>
      <c r="SC35" s="1">
        <v>79424.313173488263</v>
      </c>
      <c r="SD35" s="1">
        <v>6876787.7563667288</v>
      </c>
      <c r="SE35" s="1">
        <v>1.15496240377573E-2</v>
      </c>
      <c r="SF35" s="1"/>
      <c r="SG35" s="22">
        <v>11204</v>
      </c>
      <c r="SH35" s="1" t="s">
        <v>38</v>
      </c>
      <c r="SI35" s="1">
        <v>2022</v>
      </c>
      <c r="SJ35" s="1" t="s">
        <v>52</v>
      </c>
      <c r="SK35" s="1">
        <v>106847.99024521001</v>
      </c>
      <c r="SL35" s="1">
        <v>6325875.5612572851</v>
      </c>
      <c r="SM35" s="1">
        <v>1.68906247381151E-2</v>
      </c>
      <c r="SN35" s="1"/>
      <c r="SO35" s="22">
        <v>12124</v>
      </c>
      <c r="SP35" s="1" t="s">
        <v>31</v>
      </c>
      <c r="SQ35" s="1">
        <v>2022</v>
      </c>
      <c r="SR35" s="1" t="s">
        <v>52</v>
      </c>
      <c r="SS35" s="1">
        <v>129153.8757303032</v>
      </c>
      <c r="ST35" s="1">
        <v>9782189.227885304</v>
      </c>
      <c r="SU35" s="1">
        <v>1.32029623146253E-2</v>
      </c>
      <c r="SV35" s="1"/>
      <c r="SW35" s="22">
        <v>13044</v>
      </c>
      <c r="SX35" s="1" t="s">
        <v>51</v>
      </c>
      <c r="SY35" s="1">
        <v>2022</v>
      </c>
      <c r="SZ35" s="1" t="s">
        <v>52</v>
      </c>
      <c r="TA35" s="1">
        <v>111512.5773019897</v>
      </c>
      <c r="TB35" s="1">
        <v>4800579.963537232</v>
      </c>
      <c r="TC35" s="1">
        <v>2.32289802792543E-2</v>
      </c>
      <c r="TD35" s="1"/>
      <c r="TE35" s="22">
        <v>13964</v>
      </c>
      <c r="TF35" s="1" t="s">
        <v>57</v>
      </c>
      <c r="TG35" s="1">
        <v>2022</v>
      </c>
      <c r="TH35" s="1" t="s">
        <v>52</v>
      </c>
      <c r="TI35" s="1">
        <v>159340.4227080351</v>
      </c>
      <c r="TJ35" s="1">
        <v>9346455.8140041605</v>
      </c>
      <c r="TK35" s="1">
        <v>1.7048218691548201E-2</v>
      </c>
      <c r="TL35" s="1"/>
      <c r="TM35" s="22">
        <v>8490</v>
      </c>
      <c r="TN35" s="1" t="s">
        <v>17</v>
      </c>
      <c r="TO35" s="1">
        <v>2023</v>
      </c>
      <c r="TP35" s="1" t="s">
        <v>52</v>
      </c>
      <c r="TQ35" s="1">
        <v>100747.0837782662</v>
      </c>
      <c r="TR35" s="1">
        <v>4968081.7329930915</v>
      </c>
      <c r="TS35" s="1">
        <v>2.02788700333176E-2</v>
      </c>
      <c r="TT35" s="1"/>
      <c r="TU35" s="22">
        <v>9410</v>
      </c>
      <c r="TV35" s="1" t="s">
        <v>61</v>
      </c>
      <c r="TW35" s="1">
        <v>2023</v>
      </c>
      <c r="TX35" s="1" t="s">
        <v>52</v>
      </c>
      <c r="TY35" s="1">
        <v>755224.43786813738</v>
      </c>
      <c r="TZ35" s="1">
        <v>61560292.543660469</v>
      </c>
      <c r="UA35" s="1">
        <v>1.22680449793592E-2</v>
      </c>
      <c r="UB35" s="1"/>
      <c r="UC35" s="22">
        <v>10330</v>
      </c>
      <c r="UD35" s="1" t="s">
        <v>44</v>
      </c>
      <c r="UE35" s="1">
        <v>2023</v>
      </c>
      <c r="UF35" s="1" t="s">
        <v>52</v>
      </c>
      <c r="UG35" s="1">
        <v>85949.061666135036</v>
      </c>
      <c r="UH35" s="1">
        <v>7441719.4347760417</v>
      </c>
      <c r="UI35" s="1">
        <v>1.15496240377573E-2</v>
      </c>
      <c r="UJ35" s="1"/>
      <c r="UK35" s="22">
        <v>11250</v>
      </c>
      <c r="UL35" s="1" t="s">
        <v>38</v>
      </c>
      <c r="UM35" s="1">
        <v>2023</v>
      </c>
      <c r="UN35" s="1" t="s">
        <v>52</v>
      </c>
      <c r="UO35" s="1">
        <v>116611.9164860849</v>
      </c>
      <c r="UP35" s="1">
        <v>6903943.3587640161</v>
      </c>
      <c r="UQ35" s="1">
        <v>1.68906247381151E-2</v>
      </c>
      <c r="UR35" s="1"/>
      <c r="US35" s="22">
        <v>12170</v>
      </c>
      <c r="UT35" s="1" t="s">
        <v>31</v>
      </c>
      <c r="UU35" s="1">
        <v>2023</v>
      </c>
      <c r="UV35" s="1" t="s">
        <v>52</v>
      </c>
      <c r="UW35" s="1">
        <v>140386.1310867118</v>
      </c>
      <c r="UX35" s="1">
        <v>10632926.743356841</v>
      </c>
      <c r="UY35" s="1">
        <v>1.32029623146253E-2</v>
      </c>
      <c r="UZ35" s="1"/>
      <c r="VA35" s="22">
        <v>13090</v>
      </c>
      <c r="VB35" s="1" t="s">
        <v>51</v>
      </c>
      <c r="VC35" s="1">
        <v>2023</v>
      </c>
      <c r="VD35" s="1" t="s">
        <v>52</v>
      </c>
      <c r="VE35" s="1">
        <v>122140.89872292199</v>
      </c>
      <c r="VF35" s="1">
        <v>5258125.7228930313</v>
      </c>
      <c r="VG35" s="1">
        <v>2.32289802792543E-2</v>
      </c>
      <c r="VH35" s="1"/>
      <c r="VI35" s="22">
        <v>14010</v>
      </c>
      <c r="VJ35" s="1" t="s">
        <v>57</v>
      </c>
      <c r="VK35" s="1">
        <v>2023</v>
      </c>
      <c r="VL35" s="1" t="s">
        <v>52</v>
      </c>
      <c r="VM35" s="1">
        <v>157497.85071081301</v>
      </c>
      <c r="VN35" s="1">
        <v>9238375.7834414635</v>
      </c>
      <c r="VO35" s="1">
        <v>1.7048218691548201E-2</v>
      </c>
      <c r="VP35" s="1"/>
      <c r="VQ35" s="22">
        <v>8536</v>
      </c>
      <c r="VR35" s="1" t="s">
        <v>17</v>
      </c>
      <c r="VS35" s="1">
        <v>2024</v>
      </c>
      <c r="VT35" s="1" t="s">
        <v>52</v>
      </c>
      <c r="VU35" s="1">
        <v>103895.1114496761</v>
      </c>
      <c r="VV35" s="1">
        <v>5123318.5714479852</v>
      </c>
      <c r="VW35" s="1">
        <v>2.02788700333176E-2</v>
      </c>
      <c r="VX35" s="1"/>
      <c r="VY35" s="22">
        <v>9456</v>
      </c>
      <c r="VZ35" s="1" t="s">
        <v>61</v>
      </c>
      <c r="WA35" s="1">
        <v>2024</v>
      </c>
      <c r="WB35" s="1" t="s">
        <v>52</v>
      </c>
      <c r="WC35" s="1">
        <v>795115.19177862769</v>
      </c>
      <c r="WD35" s="1">
        <v>64811890.820126347</v>
      </c>
      <c r="WE35" s="1">
        <v>1.22680449793592E-2</v>
      </c>
      <c r="WF35" s="1"/>
      <c r="WG35" s="22">
        <v>10376</v>
      </c>
      <c r="WH35" s="1" t="s">
        <v>44</v>
      </c>
      <c r="WI35" s="1">
        <v>2024</v>
      </c>
      <c r="WJ35" s="1" t="s">
        <v>52</v>
      </c>
      <c r="WK35" s="1">
        <v>92936.730122590525</v>
      </c>
      <c r="WL35" s="1">
        <v>8046732.0684004631</v>
      </c>
      <c r="WM35" s="1">
        <v>1.15496240377573E-2</v>
      </c>
      <c r="WN35" s="1"/>
      <c r="WO35" s="22">
        <v>11296</v>
      </c>
      <c r="WP35" s="1" t="s">
        <v>38</v>
      </c>
      <c r="WQ35" s="1">
        <v>2024</v>
      </c>
      <c r="WR35" s="1" t="s">
        <v>52</v>
      </c>
      <c r="WS35" s="1">
        <v>120824.62289259869</v>
      </c>
      <c r="WT35" s="1">
        <v>7153354.2877160665</v>
      </c>
      <c r="WU35" s="1">
        <v>1.68906247381151E-2</v>
      </c>
      <c r="WV35" s="1"/>
      <c r="WW35" s="22">
        <v>12216</v>
      </c>
      <c r="WX35" s="1" t="s">
        <v>31</v>
      </c>
      <c r="WY35" s="1">
        <v>2024</v>
      </c>
      <c r="WZ35" s="1" t="s">
        <v>52</v>
      </c>
      <c r="XA35" s="1">
        <v>144549.9135680449</v>
      </c>
      <c r="XB35" s="1">
        <v>10948294.03609846</v>
      </c>
      <c r="XC35" s="1">
        <v>1.32029623146253E-2</v>
      </c>
      <c r="XD35" s="1"/>
      <c r="XE35" s="22">
        <v>13136</v>
      </c>
      <c r="XF35" s="1" t="s">
        <v>51</v>
      </c>
      <c r="XG35" s="1">
        <v>2024</v>
      </c>
      <c r="XH35" s="1" t="s">
        <v>52</v>
      </c>
      <c r="XI35" s="1">
        <v>125753.2772411764</v>
      </c>
      <c r="XJ35" s="1">
        <v>5413637.436055948</v>
      </c>
      <c r="XK35" s="1">
        <v>2.32289802792543E-2</v>
      </c>
      <c r="XL35" s="1"/>
      <c r="XM35" s="22">
        <v>14056</v>
      </c>
      <c r="XN35" s="1" t="s">
        <v>57</v>
      </c>
      <c r="XO35" s="1">
        <v>2024</v>
      </c>
      <c r="XP35" s="1" t="s">
        <v>52</v>
      </c>
      <c r="XQ35" s="1">
        <v>150508.86185707731</v>
      </c>
      <c r="XR35" s="1">
        <v>8828421.583522588</v>
      </c>
      <c r="XS35" s="1">
        <v>1.7048218691548201E-2</v>
      </c>
      <c r="XT35" s="1"/>
    </row>
    <row r="36" spans="1:644" x14ac:dyDescent="0.25">
      <c r="A36" s="2">
        <v>27</v>
      </c>
      <c r="B36" s="1" t="s">
        <v>17</v>
      </c>
      <c r="C36" s="1" t="s">
        <v>53</v>
      </c>
      <c r="D36" s="1">
        <v>1.3013746143916681E-3</v>
      </c>
      <c r="E36" s="1">
        <v>1.30307331892825E-3</v>
      </c>
      <c r="F36" s="1">
        <v>1.2015047610633111E-3</v>
      </c>
      <c r="G36" s="1">
        <v>1.166642090546492E-3</v>
      </c>
      <c r="H36" s="1">
        <v>1.0870441093504899E-3</v>
      </c>
      <c r="I36" s="1">
        <v>1.0425684039351479E-3</v>
      </c>
      <c r="J36" s="1">
        <v>1.12120943819758E-3</v>
      </c>
      <c r="K36" s="1">
        <v>1.1212094381975019E-3</v>
      </c>
      <c r="L36" s="1">
        <v>1.1212094381975019E-3</v>
      </c>
      <c r="M36" s="1">
        <v>1.1212094381975019E-3</v>
      </c>
      <c r="N36" s="1">
        <v>1.1212094381975019E-3</v>
      </c>
      <c r="O36" s="1">
        <v>1.155295862654813E-3</v>
      </c>
      <c r="P36" s="1"/>
      <c r="Q36" s="2">
        <v>218</v>
      </c>
      <c r="R36" s="1" t="s">
        <v>51</v>
      </c>
      <c r="S36" s="19" t="s">
        <v>25</v>
      </c>
      <c r="T36" s="19">
        <v>9.7999362111330941E-3</v>
      </c>
      <c r="U36" s="1"/>
      <c r="AC36" s="22">
        <v>901</v>
      </c>
      <c r="AD36" s="1" t="s">
        <v>17</v>
      </c>
      <c r="AE36" s="1">
        <v>2014</v>
      </c>
      <c r="AF36" s="1" t="s">
        <v>53</v>
      </c>
      <c r="AG36" s="1">
        <v>5320.3</v>
      </c>
      <c r="AH36" s="1">
        <v>4088215.6</v>
      </c>
      <c r="AI36" s="1">
        <v>1.3013746143916E-3</v>
      </c>
      <c r="AJ36" s="1"/>
      <c r="AK36" s="22">
        <v>2097</v>
      </c>
      <c r="AL36" s="1" t="s">
        <v>61</v>
      </c>
      <c r="AM36" s="1">
        <v>2014</v>
      </c>
      <c r="AN36" s="1" t="s">
        <v>53</v>
      </c>
      <c r="AO36" s="1">
        <v>55998.1</v>
      </c>
      <c r="AP36" s="1">
        <v>40350049.200000003</v>
      </c>
      <c r="AQ36" s="1">
        <v>1.3878074775679999E-3</v>
      </c>
      <c r="AR36" s="1"/>
      <c r="AS36" s="22">
        <v>3293</v>
      </c>
      <c r="AT36" s="1" t="s">
        <v>44</v>
      </c>
      <c r="AU36" s="1">
        <v>2014</v>
      </c>
      <c r="AV36" s="1" t="s">
        <v>53</v>
      </c>
      <c r="AW36" s="1">
        <v>22309.200000000001</v>
      </c>
      <c r="AX36" s="1">
        <v>6735816.8000000007</v>
      </c>
      <c r="AY36" s="1">
        <v>3.3120259446485999E-3</v>
      </c>
      <c r="AZ36" s="1"/>
      <c r="BA36" s="22">
        <v>4489</v>
      </c>
      <c r="BB36" s="1" t="s">
        <v>38</v>
      </c>
      <c r="BC36" s="1">
        <v>2014</v>
      </c>
      <c r="BD36" s="1" t="s">
        <v>53</v>
      </c>
      <c r="BE36" s="1">
        <v>20105.3</v>
      </c>
      <c r="BF36" s="1">
        <v>6538596.7000000002</v>
      </c>
      <c r="BG36" s="1">
        <v>3.0748646724150998E-3</v>
      </c>
      <c r="BH36" s="1"/>
      <c r="BI36" s="22">
        <v>5685</v>
      </c>
      <c r="BJ36" s="1" t="s">
        <v>31</v>
      </c>
      <c r="BK36" s="1">
        <v>2014</v>
      </c>
      <c r="BL36" s="1" t="s">
        <v>53</v>
      </c>
      <c r="BM36" s="1">
        <v>35472.6</v>
      </c>
      <c r="BN36" s="1">
        <v>9155477.5</v>
      </c>
      <c r="BO36" s="1">
        <v>3.8744674977356001E-3</v>
      </c>
      <c r="BP36" s="1"/>
      <c r="BQ36" s="22">
        <v>6881</v>
      </c>
      <c r="BR36" s="1" t="s">
        <v>51</v>
      </c>
      <c r="BS36" s="1">
        <v>2014</v>
      </c>
      <c r="BT36" s="1" t="s">
        <v>53</v>
      </c>
      <c r="BU36" s="1">
        <v>15933.6</v>
      </c>
      <c r="BV36" s="1">
        <v>4981875.5</v>
      </c>
      <c r="BW36" s="1">
        <v>3.1983135668484002E-3</v>
      </c>
      <c r="BX36" s="1"/>
      <c r="BY36" s="22">
        <v>8077</v>
      </c>
      <c r="BZ36" s="1" t="s">
        <v>57</v>
      </c>
      <c r="CA36" s="1">
        <v>2014</v>
      </c>
      <c r="CB36" s="1" t="s">
        <v>53</v>
      </c>
      <c r="CC36" s="1">
        <v>57726</v>
      </c>
      <c r="CD36" s="1">
        <v>11026913.800000001</v>
      </c>
      <c r="CE36" s="1">
        <v>5.2350096361504003E-3</v>
      </c>
      <c r="CF36" s="1"/>
      <c r="CG36" s="22">
        <v>947</v>
      </c>
      <c r="CH36" s="1" t="s">
        <v>17</v>
      </c>
      <c r="CI36" s="1">
        <v>2015</v>
      </c>
      <c r="CJ36" s="1" t="s">
        <v>53</v>
      </c>
      <c r="CK36" s="1">
        <v>4632.6000000000004</v>
      </c>
      <c r="CL36" s="1">
        <v>3555133.8</v>
      </c>
      <c r="CM36" s="1">
        <v>1.3030733189281999E-3</v>
      </c>
      <c r="CN36" s="1"/>
      <c r="CO36" s="22">
        <v>2143</v>
      </c>
      <c r="CP36" s="1" t="s">
        <v>61</v>
      </c>
      <c r="CQ36" s="1">
        <v>2015</v>
      </c>
      <c r="CR36" s="1" t="s">
        <v>53</v>
      </c>
      <c r="CS36" s="1">
        <v>53164.3</v>
      </c>
      <c r="CT36" s="1">
        <v>41208556.399999999</v>
      </c>
      <c r="CU36" s="1">
        <v>1.2901276978485999E-3</v>
      </c>
      <c r="CV36" s="1"/>
      <c r="CW36" s="22">
        <v>3339</v>
      </c>
      <c r="CX36" s="1" t="s">
        <v>44</v>
      </c>
      <c r="CY36" s="1">
        <v>2015</v>
      </c>
      <c r="CZ36" s="1" t="s">
        <v>53</v>
      </c>
      <c r="DA36" s="1">
        <v>21612.2</v>
      </c>
      <c r="DB36" s="1">
        <v>6404349.4000000004</v>
      </c>
      <c r="DC36" s="1">
        <v>3.3746128841752E-3</v>
      </c>
      <c r="DD36" s="1"/>
      <c r="DE36" s="22">
        <v>4535</v>
      </c>
      <c r="DF36" s="1" t="s">
        <v>38</v>
      </c>
      <c r="DG36" s="1">
        <v>2015</v>
      </c>
      <c r="DH36" s="1" t="s">
        <v>53</v>
      </c>
      <c r="DI36" s="1">
        <v>17136.8</v>
      </c>
      <c r="DJ36" s="1">
        <v>5531517.5999999996</v>
      </c>
      <c r="DK36" s="1">
        <v>3.0980286494975001E-3</v>
      </c>
      <c r="DL36" s="1"/>
      <c r="DM36" s="22">
        <v>5731</v>
      </c>
      <c r="DN36" s="1" t="s">
        <v>31</v>
      </c>
      <c r="DO36" s="1">
        <v>2015</v>
      </c>
      <c r="DP36" s="1" t="s">
        <v>53</v>
      </c>
      <c r="DQ36" s="1">
        <v>33412</v>
      </c>
      <c r="DR36" s="1">
        <v>7894528</v>
      </c>
      <c r="DS36" s="1">
        <v>4.2322986250729003E-3</v>
      </c>
      <c r="DT36" s="1"/>
      <c r="DU36" s="22">
        <v>6927</v>
      </c>
      <c r="DV36" s="1" t="s">
        <v>51</v>
      </c>
      <c r="DW36" s="1">
        <v>2015</v>
      </c>
      <c r="DX36" s="1" t="s">
        <v>53</v>
      </c>
      <c r="DY36" s="1">
        <v>13631.3</v>
      </c>
      <c r="DZ36" s="1">
        <v>4209274.5999999996</v>
      </c>
      <c r="EA36" s="1">
        <v>3.2383964685981001E-3</v>
      </c>
      <c r="EB36" s="1"/>
      <c r="EC36" s="22">
        <v>8123</v>
      </c>
      <c r="ED36" s="1" t="s">
        <v>57</v>
      </c>
      <c r="EE36" s="1">
        <v>2015</v>
      </c>
      <c r="EF36" s="1" t="s">
        <v>53</v>
      </c>
      <c r="EG36" s="1">
        <v>48575.9</v>
      </c>
      <c r="EH36" s="1">
        <v>9729477.0999999996</v>
      </c>
      <c r="EI36" s="1">
        <v>4.9926526883957E-3</v>
      </c>
      <c r="EJ36" s="1"/>
      <c r="EK36" s="22">
        <v>993</v>
      </c>
      <c r="EL36" s="1" t="s">
        <v>17</v>
      </c>
      <c r="EM36" s="1">
        <v>2016</v>
      </c>
      <c r="EN36" s="1" t="s">
        <v>53</v>
      </c>
      <c r="EO36" s="1">
        <v>4161.3</v>
      </c>
      <c r="EP36" s="1">
        <v>3463407</v>
      </c>
      <c r="EQ36" s="1">
        <v>1.2015047610633E-3</v>
      </c>
      <c r="ER36" s="1"/>
      <c r="ES36" s="22">
        <v>2189</v>
      </c>
      <c r="ET36" s="1" t="s">
        <v>61</v>
      </c>
      <c r="EU36" s="1">
        <v>2016</v>
      </c>
      <c r="EV36" s="1" t="s">
        <v>53</v>
      </c>
      <c r="EW36" s="1">
        <v>52021.599999999999</v>
      </c>
      <c r="EX36" s="1">
        <v>42141395.200000003</v>
      </c>
      <c r="EY36" s="1">
        <v>1.2344536708645999E-3</v>
      </c>
      <c r="EZ36" s="1"/>
      <c r="FA36" s="22">
        <v>3385</v>
      </c>
      <c r="FB36" s="1" t="s">
        <v>44</v>
      </c>
      <c r="FC36" s="1">
        <v>2016</v>
      </c>
      <c r="FD36" s="1" t="s">
        <v>53</v>
      </c>
      <c r="FE36" s="1">
        <v>19702.3</v>
      </c>
      <c r="FF36" s="1">
        <v>5868597.7999999998</v>
      </c>
      <c r="FG36" s="1">
        <v>3.3572414862030001E-3</v>
      </c>
      <c r="FH36" s="1"/>
      <c r="FI36" s="22">
        <v>4581</v>
      </c>
      <c r="FJ36" s="1" t="s">
        <v>38</v>
      </c>
      <c r="FK36" s="1">
        <v>2016</v>
      </c>
      <c r="FL36" s="1" t="s">
        <v>53</v>
      </c>
      <c r="FM36" s="1">
        <v>15067.5</v>
      </c>
      <c r="FN36" s="1">
        <v>5582986.5</v>
      </c>
      <c r="FO36" s="1">
        <v>2.6988243657762E-3</v>
      </c>
      <c r="FP36" s="1"/>
      <c r="FQ36" s="22">
        <v>5777</v>
      </c>
      <c r="FR36" s="1" t="s">
        <v>31</v>
      </c>
      <c r="FS36" s="1">
        <v>2016</v>
      </c>
      <c r="FT36" s="1" t="s">
        <v>53</v>
      </c>
      <c r="FU36" s="1">
        <v>33643.4</v>
      </c>
      <c r="FV36" s="1">
        <v>8130820.9000000004</v>
      </c>
      <c r="FW36" s="1">
        <v>4.1377617849138997E-3</v>
      </c>
      <c r="FX36" s="1"/>
      <c r="FY36" s="22">
        <v>6973</v>
      </c>
      <c r="FZ36" s="1" t="s">
        <v>51</v>
      </c>
      <c r="GA36" s="1">
        <v>2016</v>
      </c>
      <c r="GB36" s="1" t="s">
        <v>53</v>
      </c>
      <c r="GC36" s="1">
        <v>12793.5</v>
      </c>
      <c r="GD36" s="1">
        <v>4230502.5999999996</v>
      </c>
      <c r="GE36" s="1">
        <v>3.0241087666509998E-3</v>
      </c>
      <c r="GF36" s="1"/>
      <c r="GG36" s="22">
        <v>8169</v>
      </c>
      <c r="GH36" s="1" t="s">
        <v>57</v>
      </c>
      <c r="GI36" s="1">
        <v>2016</v>
      </c>
      <c r="GJ36" s="1" t="s">
        <v>53</v>
      </c>
      <c r="GK36" s="1">
        <v>43825.8</v>
      </c>
      <c r="GL36" s="1">
        <v>10773649.5</v>
      </c>
      <c r="GM36" s="1">
        <v>4.0678694809962003E-3</v>
      </c>
      <c r="GN36" s="1"/>
      <c r="GO36" s="22">
        <v>1039</v>
      </c>
      <c r="GP36" s="1" t="s">
        <v>17</v>
      </c>
      <c r="GQ36" s="1">
        <v>2017</v>
      </c>
      <c r="GR36" s="1" t="s">
        <v>53</v>
      </c>
      <c r="GS36" s="1">
        <v>4339.6000000000004</v>
      </c>
      <c r="GT36" s="1">
        <v>3719735.5</v>
      </c>
      <c r="GU36" s="1">
        <v>1.1666420905464001E-3</v>
      </c>
      <c r="GV36" s="1"/>
      <c r="GW36" s="22">
        <v>2235</v>
      </c>
      <c r="GX36" s="1" t="s">
        <v>61</v>
      </c>
      <c r="GY36" s="1">
        <v>2017</v>
      </c>
      <c r="GZ36" s="1" t="s">
        <v>53</v>
      </c>
      <c r="HA36" s="1">
        <v>55501.5</v>
      </c>
      <c r="HB36" s="1">
        <v>44107004.100000001</v>
      </c>
      <c r="HC36" s="1">
        <v>1.2583375618567001E-3</v>
      </c>
      <c r="HD36" s="1"/>
      <c r="HE36" s="22">
        <v>3431</v>
      </c>
      <c r="HF36" s="1" t="s">
        <v>44</v>
      </c>
      <c r="HG36" s="1">
        <v>2017</v>
      </c>
      <c r="HH36" s="1" t="s">
        <v>53</v>
      </c>
      <c r="HI36" s="1">
        <v>18382.8</v>
      </c>
      <c r="HJ36" s="1">
        <v>5855367.5</v>
      </c>
      <c r="HK36" s="1">
        <v>3.1394784358111999E-3</v>
      </c>
      <c r="HL36" s="1"/>
      <c r="HM36" s="22">
        <v>4627</v>
      </c>
      <c r="HN36" s="1" t="s">
        <v>38</v>
      </c>
      <c r="HO36" s="1">
        <v>2017</v>
      </c>
      <c r="HP36" s="1" t="s">
        <v>53</v>
      </c>
      <c r="HQ36" s="1">
        <v>17680</v>
      </c>
      <c r="HR36" s="1">
        <v>5923445.7000000002</v>
      </c>
      <c r="HS36" s="1">
        <v>2.9847492313467999E-3</v>
      </c>
      <c r="HT36" s="1"/>
      <c r="HU36" s="22">
        <v>5823</v>
      </c>
      <c r="HV36" s="1" t="s">
        <v>31</v>
      </c>
      <c r="HW36" s="1">
        <v>2017</v>
      </c>
      <c r="HX36" s="1" t="s">
        <v>53</v>
      </c>
      <c r="HY36" s="1">
        <v>37063.1</v>
      </c>
      <c r="HZ36" s="1">
        <v>8686095.3000000007</v>
      </c>
      <c r="IA36" s="1">
        <v>4.2669460465163999E-3</v>
      </c>
      <c r="IB36" s="1"/>
      <c r="IC36" s="22">
        <v>7019</v>
      </c>
      <c r="ID36" s="1" t="s">
        <v>51</v>
      </c>
      <c r="IE36" s="1">
        <v>2017</v>
      </c>
      <c r="IF36" s="1" t="s">
        <v>53</v>
      </c>
      <c r="IG36" s="1">
        <v>13978.5</v>
      </c>
      <c r="IH36" s="1">
        <v>4472691.8</v>
      </c>
      <c r="II36" s="1">
        <v>3.1252991766613E-3</v>
      </c>
      <c r="IJ36" s="1"/>
      <c r="IK36" s="22">
        <v>8215</v>
      </c>
      <c r="IL36" s="1" t="s">
        <v>57</v>
      </c>
      <c r="IM36" s="1">
        <v>2017</v>
      </c>
      <c r="IN36" s="1" t="s">
        <v>53</v>
      </c>
      <c r="IO36" s="1">
        <v>46407.7</v>
      </c>
      <c r="IP36" s="1">
        <v>10750260.5</v>
      </c>
      <c r="IQ36" s="1">
        <v>4.3168907395313002E-3</v>
      </c>
      <c r="IR36" s="1"/>
      <c r="IS36" s="22">
        <v>1085</v>
      </c>
      <c r="IT36" s="1" t="s">
        <v>17</v>
      </c>
      <c r="IU36" s="1">
        <v>2018</v>
      </c>
      <c r="IV36" s="1" t="s">
        <v>53</v>
      </c>
      <c r="IW36" s="1">
        <v>4244</v>
      </c>
      <c r="IX36" s="1">
        <v>3904165.4</v>
      </c>
      <c r="IY36" s="1">
        <v>1.0870441093503999E-3</v>
      </c>
      <c r="IZ36" s="1"/>
      <c r="JA36" s="22">
        <v>2281</v>
      </c>
      <c r="JB36" s="1" t="s">
        <v>61</v>
      </c>
      <c r="JC36" s="1">
        <v>2018</v>
      </c>
      <c r="JD36" s="1" t="s">
        <v>53</v>
      </c>
      <c r="JE36" s="1">
        <v>60185.8</v>
      </c>
      <c r="JF36" s="1">
        <v>46669099.200000003</v>
      </c>
      <c r="JG36" s="1">
        <v>1.2896284914794001E-3</v>
      </c>
      <c r="JH36" s="1"/>
      <c r="JI36" s="22">
        <v>3477</v>
      </c>
      <c r="JJ36" s="1" t="s">
        <v>44</v>
      </c>
      <c r="JK36" s="1">
        <v>2018</v>
      </c>
      <c r="JL36" s="1" t="s">
        <v>53</v>
      </c>
      <c r="JM36" s="1">
        <v>19170.599999999999</v>
      </c>
      <c r="JN36" s="1">
        <v>6336724.7000000002</v>
      </c>
      <c r="JO36" s="1">
        <v>3.0253168486237001E-3</v>
      </c>
      <c r="JP36" s="1"/>
      <c r="JQ36" s="22">
        <v>4673</v>
      </c>
      <c r="JR36" s="1" t="s">
        <v>38</v>
      </c>
      <c r="JS36" s="1">
        <v>2018</v>
      </c>
      <c r="JT36" s="1" t="s">
        <v>53</v>
      </c>
      <c r="JU36" s="1">
        <v>19335.5</v>
      </c>
      <c r="JV36" s="1">
        <v>6390706</v>
      </c>
      <c r="JW36" s="1">
        <v>3.0255655634916999E-3</v>
      </c>
      <c r="JX36" s="1"/>
      <c r="JY36" s="22">
        <v>5869</v>
      </c>
      <c r="JZ36" s="1" t="s">
        <v>31</v>
      </c>
      <c r="KA36" s="1">
        <v>2018</v>
      </c>
      <c r="KB36" s="1" t="s">
        <v>53</v>
      </c>
      <c r="KC36" s="1">
        <v>41327</v>
      </c>
      <c r="KD36" s="1">
        <v>9443218.3000000007</v>
      </c>
      <c r="KE36" s="1">
        <v>4.3763681710079E-3</v>
      </c>
      <c r="KF36" s="1"/>
      <c r="KG36" s="22">
        <v>7065</v>
      </c>
      <c r="KH36" s="1" t="s">
        <v>51</v>
      </c>
      <c r="KI36" s="1">
        <v>2018</v>
      </c>
      <c r="KJ36" s="1" t="s">
        <v>53</v>
      </c>
      <c r="KK36" s="1">
        <v>14796.5</v>
      </c>
      <c r="KL36" s="1">
        <v>4803387.8</v>
      </c>
      <c r="KM36" s="1">
        <v>3.0804300248253001E-3</v>
      </c>
      <c r="KN36" s="1"/>
      <c r="KO36" s="22">
        <v>8261</v>
      </c>
      <c r="KP36" s="1" t="s">
        <v>57</v>
      </c>
      <c r="KQ36" s="1">
        <v>2018</v>
      </c>
      <c r="KR36" s="1" t="s">
        <v>53</v>
      </c>
      <c r="KS36" s="1">
        <v>41566.800000000003</v>
      </c>
      <c r="KT36" s="1">
        <v>11172914.4</v>
      </c>
      <c r="KU36" s="1">
        <v>3.7203184873590002E-3</v>
      </c>
      <c r="KV36" s="1"/>
      <c r="KW36" s="22">
        <v>1131</v>
      </c>
      <c r="KX36" s="1" t="s">
        <v>17</v>
      </c>
      <c r="KY36" s="1">
        <v>2019</v>
      </c>
      <c r="KZ36" s="1" t="s">
        <v>53</v>
      </c>
      <c r="LA36" s="1">
        <v>4123.7</v>
      </c>
      <c r="LB36" s="1">
        <v>3955328</v>
      </c>
      <c r="LC36" s="1">
        <v>1.0425684039351E-3</v>
      </c>
      <c r="LD36" s="1"/>
      <c r="LE36" s="22">
        <v>2327</v>
      </c>
      <c r="LF36" s="1" t="s">
        <v>61</v>
      </c>
      <c r="LG36" s="1">
        <v>2019</v>
      </c>
      <c r="LH36" s="1" t="s">
        <v>53</v>
      </c>
      <c r="LI36" s="1">
        <v>61283.4</v>
      </c>
      <c r="LJ36" s="1">
        <v>48356774.5</v>
      </c>
      <c r="LK36" s="1">
        <v>1.267317777781E-3</v>
      </c>
      <c r="LL36" s="1"/>
      <c r="LM36" s="22">
        <v>3523</v>
      </c>
      <c r="LN36" s="1" t="s">
        <v>44</v>
      </c>
      <c r="LO36" s="1">
        <v>2019</v>
      </c>
      <c r="LP36" s="1" t="s">
        <v>53</v>
      </c>
      <c r="LQ36" s="1">
        <v>19531.7</v>
      </c>
      <c r="LR36" s="1">
        <v>6269787.0999999996</v>
      </c>
      <c r="LS36" s="1">
        <v>3.1152094462665002E-3</v>
      </c>
      <c r="LT36" s="1"/>
      <c r="LU36" s="22">
        <v>4719</v>
      </c>
      <c r="LV36" s="1" t="s">
        <v>38</v>
      </c>
      <c r="LW36" s="1">
        <v>2019</v>
      </c>
      <c r="LX36" s="1" t="s">
        <v>53</v>
      </c>
      <c r="LY36" s="1">
        <v>18841.3</v>
      </c>
      <c r="LZ36" s="1">
        <v>6182094.5</v>
      </c>
      <c r="MA36" s="1">
        <v>3.0477211242887999E-3</v>
      </c>
      <c r="MB36" s="1"/>
      <c r="MC36" s="22">
        <v>5915</v>
      </c>
      <c r="MD36" s="1" t="s">
        <v>31</v>
      </c>
      <c r="ME36" s="1">
        <v>2019</v>
      </c>
      <c r="MF36" s="1" t="s">
        <v>53</v>
      </c>
      <c r="MG36" s="1">
        <v>41446.199999999997</v>
      </c>
      <c r="MH36" s="1">
        <v>9237079</v>
      </c>
      <c r="MI36" s="1">
        <v>4.4869379161962004E-3</v>
      </c>
      <c r="MJ36" s="1"/>
      <c r="MK36" s="22">
        <v>7111</v>
      </c>
      <c r="ML36" s="1" t="s">
        <v>51</v>
      </c>
      <c r="MM36" s="1">
        <v>2019</v>
      </c>
      <c r="MN36" s="1" t="s">
        <v>53</v>
      </c>
      <c r="MO36" s="1">
        <v>14311.5</v>
      </c>
      <c r="MP36" s="1">
        <v>4608662</v>
      </c>
      <c r="MQ36" s="1">
        <v>3.1053481465987002E-3</v>
      </c>
      <c r="MR36" s="1"/>
      <c r="MS36" s="22">
        <v>8307</v>
      </c>
      <c r="MT36" s="1" t="s">
        <v>57</v>
      </c>
      <c r="MU36" s="1">
        <v>2019</v>
      </c>
      <c r="MV36" s="1" t="s">
        <v>53</v>
      </c>
      <c r="MW36" s="1">
        <v>38114.300000000003</v>
      </c>
      <c r="MX36" s="1">
        <v>11338077</v>
      </c>
      <c r="MY36" s="1">
        <v>3.3616194351123001E-3</v>
      </c>
      <c r="MZ36" s="1"/>
      <c r="NA36" s="22">
        <v>1177</v>
      </c>
      <c r="NB36" s="1" t="s">
        <v>17</v>
      </c>
      <c r="NC36" s="1">
        <v>2020</v>
      </c>
      <c r="ND36" s="1" t="s">
        <v>53</v>
      </c>
      <c r="NE36" s="1">
        <v>4243.5</v>
      </c>
      <c r="NF36" s="1">
        <v>3784752.3</v>
      </c>
      <c r="NG36" s="1">
        <v>1.1212094381975E-3</v>
      </c>
      <c r="NH36" s="1"/>
      <c r="NI36" s="22">
        <v>2373</v>
      </c>
      <c r="NJ36" s="1" t="s">
        <v>61</v>
      </c>
      <c r="NK36" s="1">
        <v>2020</v>
      </c>
      <c r="NL36" s="1" t="s">
        <v>53</v>
      </c>
      <c r="NM36" s="1">
        <v>39753.1</v>
      </c>
      <c r="NN36" s="1">
        <v>47421769.399999999</v>
      </c>
      <c r="NO36" s="1">
        <v>8.3828799521760001E-4</v>
      </c>
      <c r="NP36" s="1"/>
      <c r="NQ36" s="22">
        <v>3569</v>
      </c>
      <c r="NR36" s="1" t="s">
        <v>44</v>
      </c>
      <c r="NS36" s="1">
        <v>2020</v>
      </c>
      <c r="NT36" s="1" t="s">
        <v>53</v>
      </c>
      <c r="NU36" s="1">
        <v>13988.5</v>
      </c>
      <c r="NV36" s="1">
        <v>5955345.3666666672</v>
      </c>
      <c r="NW36" s="1">
        <v>2.3488981979611998E-3</v>
      </c>
      <c r="NX36" s="1"/>
      <c r="NY36" s="22">
        <v>4765</v>
      </c>
      <c r="NZ36" s="1" t="s">
        <v>38</v>
      </c>
      <c r="OA36" s="1">
        <v>2020</v>
      </c>
      <c r="OB36" s="1" t="s">
        <v>53</v>
      </c>
      <c r="OC36" s="1">
        <v>19512.099999999999</v>
      </c>
      <c r="OD36" s="1">
        <v>5990228.4000000004</v>
      </c>
      <c r="OE36" s="1">
        <v>3.2573215405275E-3</v>
      </c>
      <c r="OF36" s="1"/>
      <c r="OG36" s="22">
        <v>5961</v>
      </c>
      <c r="OH36" s="1" t="s">
        <v>31</v>
      </c>
      <c r="OI36" s="1">
        <v>2020</v>
      </c>
      <c r="OJ36" s="1" t="s">
        <v>53</v>
      </c>
      <c r="OK36" s="1">
        <v>38500.300000000003</v>
      </c>
      <c r="OL36" s="1">
        <v>9257180.0999999996</v>
      </c>
      <c r="OM36" s="1">
        <v>4.1589662925537998E-3</v>
      </c>
      <c r="ON36" s="1"/>
      <c r="OO36" s="22">
        <v>7157</v>
      </c>
      <c r="OP36" s="1" t="s">
        <v>51</v>
      </c>
      <c r="OQ36" s="1">
        <v>2020</v>
      </c>
      <c r="OR36" s="1" t="s">
        <v>53</v>
      </c>
      <c r="OS36" s="1">
        <v>9402.5</v>
      </c>
      <c r="OT36" s="1">
        <v>4352046.4000000004</v>
      </c>
      <c r="OU36" s="1">
        <v>2.1604778846106999E-3</v>
      </c>
      <c r="OV36" s="1"/>
      <c r="OW36" s="22">
        <v>8353</v>
      </c>
      <c r="OX36" s="1" t="s">
        <v>57</v>
      </c>
      <c r="OY36" s="1">
        <v>2020</v>
      </c>
      <c r="OZ36" s="1" t="s">
        <v>53</v>
      </c>
      <c r="PA36" s="1">
        <v>31378.1</v>
      </c>
      <c r="PB36" s="1">
        <v>11082248.733333331</v>
      </c>
      <c r="PC36" s="1">
        <v>2.8313838423080998E-3</v>
      </c>
      <c r="PD36" s="1"/>
      <c r="PE36" s="22">
        <v>8399</v>
      </c>
      <c r="PF36" s="1" t="s">
        <v>17</v>
      </c>
      <c r="PG36" s="1">
        <v>2021</v>
      </c>
      <c r="PH36" s="1" t="s">
        <v>53</v>
      </c>
      <c r="PI36" s="1">
        <v>5183.3503635964589</v>
      </c>
      <c r="PJ36" s="1">
        <v>4622999.2247741111</v>
      </c>
      <c r="PK36" s="1">
        <v>1.1212094381975E-3</v>
      </c>
      <c r="PL36" s="1"/>
      <c r="PM36" s="22">
        <v>9319</v>
      </c>
      <c r="PN36" s="1" t="s">
        <v>61</v>
      </c>
      <c r="PO36" s="1">
        <v>2021</v>
      </c>
      <c r="PP36" s="1" t="s">
        <v>53</v>
      </c>
      <c r="PQ36" s="1">
        <v>44085.262863803058</v>
      </c>
      <c r="PR36" s="1">
        <v>52589638.782026872</v>
      </c>
      <c r="PS36" s="1">
        <v>8.3828799521760001E-4</v>
      </c>
      <c r="PT36" s="1"/>
      <c r="PU36" s="22">
        <v>10239</v>
      </c>
      <c r="PV36" s="1" t="s">
        <v>44</v>
      </c>
      <c r="PW36" s="1">
        <v>2021</v>
      </c>
      <c r="PX36" s="1" t="s">
        <v>53</v>
      </c>
      <c r="PY36" s="1">
        <v>16304.75300914414</v>
      </c>
      <c r="PZ36" s="1">
        <v>6941447.2808129201</v>
      </c>
      <c r="QA36" s="1">
        <v>2.3488981979611998E-3</v>
      </c>
      <c r="QB36" s="1"/>
      <c r="QC36" s="22">
        <v>11159</v>
      </c>
      <c r="QD36" s="1" t="s">
        <v>38</v>
      </c>
      <c r="QE36" s="1">
        <v>2021</v>
      </c>
      <c r="QF36" s="1" t="s">
        <v>53</v>
      </c>
      <c r="QG36" s="1">
        <v>21859.066819364089</v>
      </c>
      <c r="QH36" s="1">
        <v>6710748.8614170318</v>
      </c>
      <c r="QI36" s="1">
        <v>3.2573215405275E-3</v>
      </c>
      <c r="QJ36" s="1"/>
      <c r="QK36" s="22">
        <v>12079</v>
      </c>
      <c r="QL36" s="1" t="s">
        <v>31</v>
      </c>
      <c r="QM36" s="1">
        <v>2021</v>
      </c>
      <c r="QN36" s="1" t="s">
        <v>53</v>
      </c>
      <c r="QO36" s="1">
        <v>42488.554845766703</v>
      </c>
      <c r="QP36" s="1">
        <v>10216133.49495957</v>
      </c>
      <c r="QQ36" s="1">
        <v>4.1589662925537998E-3</v>
      </c>
      <c r="QR36" s="1"/>
      <c r="QS36" s="22">
        <v>12999</v>
      </c>
      <c r="QT36" s="1" t="s">
        <v>51</v>
      </c>
      <c r="QU36" s="1">
        <v>2021</v>
      </c>
      <c r="QV36" s="1" t="s">
        <v>53</v>
      </c>
      <c r="QW36" s="1">
        <v>10741.9328249833</v>
      </c>
      <c r="QX36" s="1">
        <v>4972017.0252605537</v>
      </c>
      <c r="QY36" s="1">
        <v>2.1604778846106999E-3</v>
      </c>
      <c r="QZ36" s="1"/>
      <c r="RA36" s="22">
        <v>13919</v>
      </c>
      <c r="RB36" s="1" t="s">
        <v>57</v>
      </c>
      <c r="RC36" s="1">
        <v>2021</v>
      </c>
      <c r="RD36" s="1" t="s">
        <v>53</v>
      </c>
      <c r="RE36" s="1">
        <v>31285.469456298979</v>
      </c>
      <c r="RF36" s="1">
        <v>11049533.09007922</v>
      </c>
      <c r="RG36" s="1">
        <v>2.8313838423080998E-3</v>
      </c>
      <c r="RH36" s="1"/>
      <c r="RI36" s="22">
        <v>8445</v>
      </c>
      <c r="RJ36" s="1" t="s">
        <v>17</v>
      </c>
      <c r="RK36" s="1">
        <v>2022</v>
      </c>
      <c r="RL36" s="1" t="s">
        <v>53</v>
      </c>
      <c r="RM36" s="1">
        <v>5614.0104579383296</v>
      </c>
      <c r="RN36" s="1">
        <v>5007102.3902221443</v>
      </c>
      <c r="RO36" s="1">
        <v>1.1212094381975E-3</v>
      </c>
      <c r="RP36" s="1"/>
      <c r="RQ36" s="22">
        <v>9365</v>
      </c>
      <c r="RR36" s="1" t="s">
        <v>61</v>
      </c>
      <c r="RS36" s="1">
        <v>2022</v>
      </c>
      <c r="RT36" s="1" t="s">
        <v>53</v>
      </c>
      <c r="RU36" s="1">
        <v>48414.819467452653</v>
      </c>
      <c r="RV36" s="1">
        <v>57754399.13688051</v>
      </c>
      <c r="RW36" s="1">
        <v>8.3828799521760001E-4</v>
      </c>
      <c r="RX36" s="1"/>
      <c r="RY36" s="22">
        <v>10285</v>
      </c>
      <c r="RZ36" s="1" t="s">
        <v>44</v>
      </c>
      <c r="SA36" s="1">
        <v>2022</v>
      </c>
      <c r="SB36" s="1" t="s">
        <v>53</v>
      </c>
      <c r="SC36" s="1">
        <v>16152.874368691449</v>
      </c>
      <c r="SD36" s="1">
        <v>6876787.7563667288</v>
      </c>
      <c r="SE36" s="1">
        <v>2.3488981979611998E-3</v>
      </c>
      <c r="SF36" s="1"/>
      <c r="SG36" s="22">
        <v>11205</v>
      </c>
      <c r="SH36" s="1" t="s">
        <v>38</v>
      </c>
      <c r="SI36" s="1">
        <v>2022</v>
      </c>
      <c r="SJ36" s="1" t="s">
        <v>53</v>
      </c>
      <c r="SK36" s="1">
        <v>20605.41072837984</v>
      </c>
      <c r="SL36" s="1">
        <v>6325875.5612572851</v>
      </c>
      <c r="SM36" s="1">
        <v>3.2573215405275E-3</v>
      </c>
      <c r="SN36" s="1"/>
      <c r="SO36" s="22">
        <v>12125</v>
      </c>
      <c r="SP36" s="1" t="s">
        <v>31</v>
      </c>
      <c r="SQ36" s="1">
        <v>2022</v>
      </c>
      <c r="SR36" s="1" t="s">
        <v>53</v>
      </c>
      <c r="SS36" s="1">
        <v>40683.79526615786</v>
      </c>
      <c r="ST36" s="1">
        <v>9782189.227885304</v>
      </c>
      <c r="SU36" s="1">
        <v>4.1589662925537998E-3</v>
      </c>
      <c r="SV36" s="1"/>
      <c r="SW36" s="22">
        <v>13045</v>
      </c>
      <c r="SX36" s="1" t="s">
        <v>51</v>
      </c>
      <c r="SY36" s="1">
        <v>2022</v>
      </c>
      <c r="SZ36" s="1" t="s">
        <v>53</v>
      </c>
      <c r="TA36" s="1">
        <v>10371.546844527429</v>
      </c>
      <c r="TB36" s="1">
        <v>4800579.963537232</v>
      </c>
      <c r="TC36" s="1">
        <v>2.1604778846106999E-3</v>
      </c>
      <c r="TD36" s="1"/>
      <c r="TE36" s="22">
        <v>13965</v>
      </c>
      <c r="TF36" s="1" t="s">
        <v>57</v>
      </c>
      <c r="TG36" s="1">
        <v>2022</v>
      </c>
      <c r="TH36" s="1" t="s">
        <v>53</v>
      </c>
      <c r="TI36" s="1">
        <v>26463.403974617981</v>
      </c>
      <c r="TJ36" s="1">
        <v>9346455.8140041605</v>
      </c>
      <c r="TK36" s="1">
        <v>2.8313838423080998E-3</v>
      </c>
      <c r="TL36" s="1"/>
      <c r="TM36" s="22">
        <v>8491</v>
      </c>
      <c r="TN36" s="1" t="s">
        <v>17</v>
      </c>
      <c r="TO36" s="1">
        <v>2023</v>
      </c>
      <c r="TP36" s="1" t="s">
        <v>53</v>
      </c>
      <c r="TQ36" s="1">
        <v>5570.2601287684447</v>
      </c>
      <c r="TR36" s="1">
        <v>4968081.7329930915</v>
      </c>
      <c r="TS36" s="1">
        <v>1.1212094381975E-3</v>
      </c>
      <c r="TT36" s="1"/>
      <c r="TU36" s="22">
        <v>9411</v>
      </c>
      <c r="TV36" s="1" t="s">
        <v>61</v>
      </c>
      <c r="TW36" s="1">
        <v>2023</v>
      </c>
      <c r="TX36" s="1" t="s">
        <v>53</v>
      </c>
      <c r="TY36" s="1">
        <v>51605.254221434108</v>
      </c>
      <c r="TZ36" s="1">
        <v>61560292.543660469</v>
      </c>
      <c r="UA36" s="1">
        <v>8.3828799521760001E-4</v>
      </c>
      <c r="UB36" s="1"/>
      <c r="UC36" s="22">
        <v>10331</v>
      </c>
      <c r="UD36" s="1" t="s">
        <v>44</v>
      </c>
      <c r="UE36" s="1">
        <v>2023</v>
      </c>
      <c r="UF36" s="1" t="s">
        <v>53</v>
      </c>
      <c r="UG36" s="1">
        <v>17479.84137007828</v>
      </c>
      <c r="UH36" s="1">
        <v>7441719.4347760417</v>
      </c>
      <c r="UI36" s="1">
        <v>2.3488981979611998E-3</v>
      </c>
      <c r="UJ36" s="1"/>
      <c r="UK36" s="22">
        <v>11251</v>
      </c>
      <c r="UL36" s="1" t="s">
        <v>38</v>
      </c>
      <c r="UM36" s="1">
        <v>2023</v>
      </c>
      <c r="UN36" s="1" t="s">
        <v>53</v>
      </c>
      <c r="UO36" s="1">
        <v>22488.363417083809</v>
      </c>
      <c r="UP36" s="1">
        <v>6903943.3587640161</v>
      </c>
      <c r="UQ36" s="1">
        <v>3.2573215405275E-3</v>
      </c>
      <c r="UR36" s="1"/>
      <c r="US36" s="22">
        <v>12171</v>
      </c>
      <c r="UT36" s="1" t="s">
        <v>31</v>
      </c>
      <c r="UU36" s="1">
        <v>2023</v>
      </c>
      <c r="UV36" s="1" t="s">
        <v>53</v>
      </c>
      <c r="UW36" s="1">
        <v>44221.983916814926</v>
      </c>
      <c r="UX36" s="1">
        <v>10632926.743356841</v>
      </c>
      <c r="UY36" s="1">
        <v>4.1589662925537998E-3</v>
      </c>
      <c r="UZ36" s="1"/>
      <c r="VA36" s="22">
        <v>13091</v>
      </c>
      <c r="VB36" s="1" t="s">
        <v>51</v>
      </c>
      <c r="VC36" s="1">
        <v>2023</v>
      </c>
      <c r="VD36" s="1" t="s">
        <v>53</v>
      </c>
      <c r="VE36" s="1">
        <v>11360.064338813039</v>
      </c>
      <c r="VF36" s="1">
        <v>5258125.7228930313</v>
      </c>
      <c r="VG36" s="1">
        <v>2.1604778846106999E-3</v>
      </c>
      <c r="VH36" s="1"/>
      <c r="VI36" s="22">
        <v>14011</v>
      </c>
      <c r="VJ36" s="1" t="s">
        <v>57</v>
      </c>
      <c r="VK36" s="1">
        <v>2023</v>
      </c>
      <c r="VL36" s="1" t="s">
        <v>53</v>
      </c>
      <c r="VM36" s="1">
        <v>26157.3879224066</v>
      </c>
      <c r="VN36" s="1">
        <v>9238375.7834414635</v>
      </c>
      <c r="VO36" s="1">
        <v>2.8313838423080998E-3</v>
      </c>
      <c r="VP36" s="1"/>
      <c r="VQ36" s="22">
        <v>8537</v>
      </c>
      <c r="VR36" s="1" t="s">
        <v>17</v>
      </c>
      <c r="VS36" s="1">
        <v>2024</v>
      </c>
      <c r="VT36" s="1" t="s">
        <v>53</v>
      </c>
      <c r="VU36" s="1">
        <v>5744.3131372000134</v>
      </c>
      <c r="VV36" s="1">
        <v>5123318.5714479852</v>
      </c>
      <c r="VW36" s="1">
        <v>1.1212094381975E-3</v>
      </c>
      <c r="VX36" s="1"/>
      <c r="VY36" s="22">
        <v>9457</v>
      </c>
      <c r="VZ36" s="1" t="s">
        <v>61</v>
      </c>
      <c r="WA36" s="1">
        <v>2024</v>
      </c>
      <c r="WB36" s="1" t="s">
        <v>53</v>
      </c>
      <c r="WC36" s="1">
        <v>54331.030021865692</v>
      </c>
      <c r="WD36" s="1">
        <v>64811890.820126347</v>
      </c>
      <c r="WE36" s="1">
        <v>8.3828799521760001E-4</v>
      </c>
      <c r="WF36" s="1"/>
      <c r="WG36" s="22">
        <v>10377</v>
      </c>
      <c r="WH36" s="1" t="s">
        <v>44</v>
      </c>
      <c r="WI36" s="1">
        <v>2024</v>
      </c>
      <c r="WJ36" s="1" t="s">
        <v>53</v>
      </c>
      <c r="WK36" s="1">
        <v>18900.95445494245</v>
      </c>
      <c r="WL36" s="1">
        <v>8046732.0684004631</v>
      </c>
      <c r="WM36" s="1">
        <v>2.3488981979611998E-3</v>
      </c>
      <c r="WN36" s="1"/>
      <c r="WO36" s="22">
        <v>11297</v>
      </c>
      <c r="WP36" s="1" t="s">
        <v>38</v>
      </c>
      <c r="WQ36" s="1">
        <v>2024</v>
      </c>
      <c r="WR36" s="1" t="s">
        <v>53</v>
      </c>
      <c r="WS36" s="1">
        <v>23300.775008402288</v>
      </c>
      <c r="WT36" s="1">
        <v>7153354.2877160665</v>
      </c>
      <c r="WU36" s="1">
        <v>3.2573215405275E-3</v>
      </c>
      <c r="WV36" s="1"/>
      <c r="WW36" s="22">
        <v>12217</v>
      </c>
      <c r="WX36" s="1" t="s">
        <v>31</v>
      </c>
      <c r="WY36" s="1">
        <v>2024</v>
      </c>
      <c r="WZ36" s="1" t="s">
        <v>53</v>
      </c>
      <c r="XA36" s="1">
        <v>45533.585857101301</v>
      </c>
      <c r="XB36" s="1">
        <v>10948294.03609846</v>
      </c>
      <c r="XC36" s="1">
        <v>4.1589662925537998E-3</v>
      </c>
      <c r="XD36" s="1"/>
      <c r="XE36" s="22">
        <v>13137</v>
      </c>
      <c r="XF36" s="1" t="s">
        <v>51</v>
      </c>
      <c r="XG36" s="1">
        <v>2024</v>
      </c>
      <c r="XH36" s="1" t="s">
        <v>53</v>
      </c>
      <c r="XI36" s="1">
        <v>11696.043955899449</v>
      </c>
      <c r="XJ36" s="1">
        <v>5413637.436055948</v>
      </c>
      <c r="XK36" s="1">
        <v>2.1604778846106999E-3</v>
      </c>
      <c r="XL36" s="1"/>
      <c r="XM36" s="22">
        <v>14057</v>
      </c>
      <c r="XN36" s="1" t="s">
        <v>57</v>
      </c>
      <c r="XO36" s="1">
        <v>2024</v>
      </c>
      <c r="XP36" s="1" t="s">
        <v>53</v>
      </c>
      <c r="XQ36" s="1">
        <v>24996.650224669949</v>
      </c>
      <c r="XR36" s="1">
        <v>8828421.583522588</v>
      </c>
      <c r="XS36" s="1">
        <v>2.8313838423080998E-3</v>
      </c>
      <c r="XT36" s="1"/>
    </row>
    <row r="37" spans="1:644" x14ac:dyDescent="0.25">
      <c r="A37" s="2">
        <v>28</v>
      </c>
      <c r="B37" s="1" t="s">
        <v>17</v>
      </c>
      <c r="C37" s="1" t="s">
        <v>54</v>
      </c>
      <c r="D37" s="1">
        <v>4.9434770514549184E-3</v>
      </c>
      <c r="E37" s="1">
        <v>5.0029903234584299E-3</v>
      </c>
      <c r="F37" s="1">
        <v>5.0584294597776124E-3</v>
      </c>
      <c r="G37" s="1">
        <v>5.2724178910032718E-3</v>
      </c>
      <c r="H37" s="1">
        <v>5.4103496742223074E-3</v>
      </c>
      <c r="I37" s="1">
        <v>5.6519712145238019E-3</v>
      </c>
      <c r="J37" s="1">
        <v>1.6904672995376739E-3</v>
      </c>
      <c r="K37" s="1">
        <v>1.690467299537603E-3</v>
      </c>
      <c r="L37" s="1">
        <v>1.690467299537603E-3</v>
      </c>
      <c r="M37" s="1">
        <v>1.690467299537603E-3</v>
      </c>
      <c r="N37" s="1">
        <v>1.6904672995376041E-3</v>
      </c>
      <c r="O37" s="1">
        <v>3.6174520101934929E-3</v>
      </c>
      <c r="P37" s="1"/>
      <c r="Q37" s="2">
        <v>219</v>
      </c>
      <c r="R37" s="1" t="s">
        <v>51</v>
      </c>
      <c r="S37" s="1" t="s">
        <v>27</v>
      </c>
      <c r="T37" s="1">
        <v>1.5816344798391491E-2</v>
      </c>
      <c r="U37" s="1"/>
      <c r="AC37" s="22">
        <v>902</v>
      </c>
      <c r="AD37" s="1" t="s">
        <v>17</v>
      </c>
      <c r="AE37" s="1">
        <v>2014</v>
      </c>
      <c r="AF37" s="1" t="s">
        <v>54</v>
      </c>
      <c r="AG37" s="1">
        <v>20210</v>
      </c>
      <c r="AH37" s="1">
        <v>4088215.6</v>
      </c>
      <c r="AI37" s="1">
        <v>4.9434770514549002E-3</v>
      </c>
      <c r="AJ37" s="1"/>
      <c r="AK37" s="22">
        <v>2098</v>
      </c>
      <c r="AL37" s="1" t="s">
        <v>61</v>
      </c>
      <c r="AM37" s="1">
        <v>2014</v>
      </c>
      <c r="AN37" s="1" t="s">
        <v>54</v>
      </c>
      <c r="AO37" s="1">
        <v>194173.6</v>
      </c>
      <c r="AP37" s="1">
        <v>40350049.200000003</v>
      </c>
      <c r="AQ37" s="1">
        <v>4.8122270938891001E-3</v>
      </c>
      <c r="AR37" s="1"/>
      <c r="AS37" s="22">
        <v>3294</v>
      </c>
      <c r="AT37" s="1" t="s">
        <v>44</v>
      </c>
      <c r="AU37" s="1">
        <v>2014</v>
      </c>
      <c r="AV37" s="1" t="s">
        <v>54</v>
      </c>
      <c r="AW37" s="1">
        <v>35435.1</v>
      </c>
      <c r="AX37" s="1">
        <v>6735816.8000000007</v>
      </c>
      <c r="AY37" s="1">
        <v>5.2606983016521003E-3</v>
      </c>
      <c r="AZ37" s="1"/>
      <c r="BA37" s="22">
        <v>4490</v>
      </c>
      <c r="BB37" s="1" t="s">
        <v>38</v>
      </c>
      <c r="BC37" s="1">
        <v>2014</v>
      </c>
      <c r="BD37" s="1" t="s">
        <v>54</v>
      </c>
      <c r="BE37" s="1">
        <v>25677</v>
      </c>
      <c r="BF37" s="1">
        <v>6538596.7000000002</v>
      </c>
      <c r="BG37" s="1">
        <v>3.9269894104341004E-3</v>
      </c>
      <c r="BH37" s="1"/>
      <c r="BI37" s="22">
        <v>5686</v>
      </c>
      <c r="BJ37" s="1" t="s">
        <v>31</v>
      </c>
      <c r="BK37" s="1">
        <v>2014</v>
      </c>
      <c r="BL37" s="1" t="s">
        <v>54</v>
      </c>
      <c r="BM37" s="1">
        <v>35309</v>
      </c>
      <c r="BN37" s="1">
        <v>9155477.5</v>
      </c>
      <c r="BO37" s="1">
        <v>3.8565984133540998E-3</v>
      </c>
      <c r="BP37" s="1"/>
      <c r="BQ37" s="22">
        <v>6882</v>
      </c>
      <c r="BR37" s="1" t="s">
        <v>51</v>
      </c>
      <c r="BS37" s="1">
        <v>2014</v>
      </c>
      <c r="BT37" s="1" t="s">
        <v>54</v>
      </c>
      <c r="BU37" s="1">
        <v>15685.8</v>
      </c>
      <c r="BV37" s="1">
        <v>4981875.5</v>
      </c>
      <c r="BW37" s="1">
        <v>3.1485732632217998E-3</v>
      </c>
      <c r="BX37" s="1"/>
      <c r="BY37" s="22">
        <v>8078</v>
      </c>
      <c r="BZ37" s="1" t="s">
        <v>57</v>
      </c>
      <c r="CA37" s="1">
        <v>2014</v>
      </c>
      <c r="CB37" s="1" t="s">
        <v>54</v>
      </c>
      <c r="CC37" s="1">
        <v>26826.5</v>
      </c>
      <c r="CD37" s="1">
        <v>11026913.800000001</v>
      </c>
      <c r="CE37" s="1">
        <v>2.4328203236702001E-3</v>
      </c>
      <c r="CF37" s="1"/>
      <c r="CG37" s="22">
        <v>948</v>
      </c>
      <c r="CH37" s="1" t="s">
        <v>17</v>
      </c>
      <c r="CI37" s="1">
        <v>2015</v>
      </c>
      <c r="CJ37" s="1" t="s">
        <v>54</v>
      </c>
      <c r="CK37" s="1">
        <v>17786.3</v>
      </c>
      <c r="CL37" s="1">
        <v>3555133.8</v>
      </c>
      <c r="CM37" s="1">
        <v>5.0029903234584004E-3</v>
      </c>
      <c r="CN37" s="1"/>
      <c r="CO37" s="22">
        <v>2144</v>
      </c>
      <c r="CP37" s="1" t="s">
        <v>61</v>
      </c>
      <c r="CQ37" s="1">
        <v>2015</v>
      </c>
      <c r="CR37" s="1" t="s">
        <v>54</v>
      </c>
      <c r="CS37" s="1">
        <v>193033.2</v>
      </c>
      <c r="CT37" s="1">
        <v>41208556.399999999</v>
      </c>
      <c r="CU37" s="1">
        <v>4.6842990112606004E-3</v>
      </c>
      <c r="CV37" s="1"/>
      <c r="CW37" s="22">
        <v>3340</v>
      </c>
      <c r="CX37" s="1" t="s">
        <v>44</v>
      </c>
      <c r="CY37" s="1">
        <v>2015</v>
      </c>
      <c r="CZ37" s="1" t="s">
        <v>54</v>
      </c>
      <c r="DA37" s="1">
        <v>33953.1</v>
      </c>
      <c r="DB37" s="1">
        <v>6404349.4000000004</v>
      </c>
      <c r="DC37" s="1">
        <v>5.3015689618682998E-3</v>
      </c>
      <c r="DD37" s="1"/>
      <c r="DE37" s="22">
        <v>4536</v>
      </c>
      <c r="DF37" s="1" t="s">
        <v>38</v>
      </c>
      <c r="DG37" s="1">
        <v>2015</v>
      </c>
      <c r="DH37" s="1" t="s">
        <v>54</v>
      </c>
      <c r="DI37" s="1">
        <v>22717.9</v>
      </c>
      <c r="DJ37" s="1">
        <v>5531517.5999999996</v>
      </c>
      <c r="DK37" s="1">
        <v>4.1069922655582996E-3</v>
      </c>
      <c r="DL37" s="1"/>
      <c r="DM37" s="22">
        <v>5732</v>
      </c>
      <c r="DN37" s="1" t="s">
        <v>31</v>
      </c>
      <c r="DO37" s="1">
        <v>2015</v>
      </c>
      <c r="DP37" s="1" t="s">
        <v>54</v>
      </c>
      <c r="DQ37" s="1">
        <v>29882.5</v>
      </c>
      <c r="DR37" s="1">
        <v>7894528</v>
      </c>
      <c r="DS37" s="1">
        <v>3.7852167982683001E-3</v>
      </c>
      <c r="DT37" s="1"/>
      <c r="DU37" s="22">
        <v>6928</v>
      </c>
      <c r="DV37" s="1" t="s">
        <v>51</v>
      </c>
      <c r="DW37" s="1">
        <v>2015</v>
      </c>
      <c r="DX37" s="1" t="s">
        <v>54</v>
      </c>
      <c r="DY37" s="1">
        <v>13296.4</v>
      </c>
      <c r="DZ37" s="1">
        <v>4209274.5999999996</v>
      </c>
      <c r="EA37" s="1">
        <v>3.1588340660882001E-3</v>
      </c>
      <c r="EB37" s="1"/>
      <c r="EC37" s="22">
        <v>8124</v>
      </c>
      <c r="ED37" s="1" t="s">
        <v>57</v>
      </c>
      <c r="EE37" s="1">
        <v>2015</v>
      </c>
      <c r="EF37" s="1" t="s">
        <v>54</v>
      </c>
      <c r="EG37" s="1">
        <v>24098.1</v>
      </c>
      <c r="EH37" s="1">
        <v>9729477.0999999996</v>
      </c>
      <c r="EI37" s="1">
        <v>2.4768134764404999E-3</v>
      </c>
      <c r="EJ37" s="1"/>
      <c r="EK37" s="22">
        <v>994</v>
      </c>
      <c r="EL37" s="1" t="s">
        <v>17</v>
      </c>
      <c r="EM37" s="1">
        <v>2016</v>
      </c>
      <c r="EN37" s="1" t="s">
        <v>54</v>
      </c>
      <c r="EO37" s="1">
        <v>17519.400000000001</v>
      </c>
      <c r="EP37" s="1">
        <v>3463407</v>
      </c>
      <c r="EQ37" s="1">
        <v>5.0584294597776002E-3</v>
      </c>
      <c r="ER37" s="1"/>
      <c r="ES37" s="22">
        <v>2190</v>
      </c>
      <c r="ET37" s="1" t="s">
        <v>61</v>
      </c>
      <c r="EU37" s="1">
        <v>2016</v>
      </c>
      <c r="EV37" s="1" t="s">
        <v>54</v>
      </c>
      <c r="EW37" s="1">
        <v>193160.2</v>
      </c>
      <c r="EX37" s="1">
        <v>42141395.200000003</v>
      </c>
      <c r="EY37" s="1">
        <v>4.5836213794837998E-3</v>
      </c>
      <c r="EZ37" s="1"/>
      <c r="FA37" s="22">
        <v>3386</v>
      </c>
      <c r="FB37" s="1" t="s">
        <v>44</v>
      </c>
      <c r="FC37" s="1">
        <v>2016</v>
      </c>
      <c r="FD37" s="1" t="s">
        <v>54</v>
      </c>
      <c r="FE37" s="1">
        <v>31152.5</v>
      </c>
      <c r="FF37" s="1">
        <v>5868597.7999999998</v>
      </c>
      <c r="FG37" s="1">
        <v>5.3083378792800999E-3</v>
      </c>
      <c r="FH37" s="1"/>
      <c r="FI37" s="22">
        <v>4582</v>
      </c>
      <c r="FJ37" s="1" t="s">
        <v>38</v>
      </c>
      <c r="FK37" s="1">
        <v>2016</v>
      </c>
      <c r="FL37" s="1" t="s">
        <v>54</v>
      </c>
      <c r="FM37" s="1">
        <v>21449.3</v>
      </c>
      <c r="FN37" s="1">
        <v>5582986.5</v>
      </c>
      <c r="FO37" s="1">
        <v>3.8419043284448999E-3</v>
      </c>
      <c r="FP37" s="1"/>
      <c r="FQ37" s="22">
        <v>5778</v>
      </c>
      <c r="FR37" s="1" t="s">
        <v>31</v>
      </c>
      <c r="FS37" s="1">
        <v>2016</v>
      </c>
      <c r="FT37" s="1" t="s">
        <v>54</v>
      </c>
      <c r="FU37" s="1">
        <v>29031.4</v>
      </c>
      <c r="FV37" s="1">
        <v>8130820.9000000004</v>
      </c>
      <c r="FW37" s="1">
        <v>3.5705373857145999E-3</v>
      </c>
      <c r="FX37" s="1"/>
      <c r="FY37" s="22">
        <v>6974</v>
      </c>
      <c r="FZ37" s="1" t="s">
        <v>51</v>
      </c>
      <c r="GA37" s="1">
        <v>2016</v>
      </c>
      <c r="GB37" s="1" t="s">
        <v>54</v>
      </c>
      <c r="GC37" s="1">
        <v>11309.1</v>
      </c>
      <c r="GD37" s="1">
        <v>4230502.5999999996</v>
      </c>
      <c r="GE37" s="1">
        <v>2.6732284717186998E-3</v>
      </c>
      <c r="GF37" s="1"/>
      <c r="GG37" s="22">
        <v>8170</v>
      </c>
      <c r="GH37" s="1" t="s">
        <v>57</v>
      </c>
      <c r="GI37" s="1">
        <v>2016</v>
      </c>
      <c r="GJ37" s="1" t="s">
        <v>54</v>
      </c>
      <c r="GK37" s="1">
        <v>26272.400000000001</v>
      </c>
      <c r="GL37" s="1">
        <v>10773649.5</v>
      </c>
      <c r="GM37" s="1">
        <v>2.4385794247343E-3</v>
      </c>
      <c r="GN37" s="1"/>
      <c r="GO37" s="22">
        <v>1040</v>
      </c>
      <c r="GP37" s="1" t="s">
        <v>17</v>
      </c>
      <c r="GQ37" s="1">
        <v>2017</v>
      </c>
      <c r="GR37" s="1" t="s">
        <v>54</v>
      </c>
      <c r="GS37" s="1">
        <v>19612</v>
      </c>
      <c r="GT37" s="1">
        <v>3719735.5</v>
      </c>
      <c r="GU37" s="1">
        <v>5.2724178910031998E-3</v>
      </c>
      <c r="GV37" s="1"/>
      <c r="GW37" s="22">
        <v>2236</v>
      </c>
      <c r="GX37" s="1" t="s">
        <v>61</v>
      </c>
      <c r="GY37" s="1">
        <v>2017</v>
      </c>
      <c r="GZ37" s="1" t="s">
        <v>54</v>
      </c>
      <c r="HA37" s="1">
        <v>201575.1</v>
      </c>
      <c r="HB37" s="1">
        <v>44107004.100000001</v>
      </c>
      <c r="HC37" s="1">
        <v>4.5701381019436996E-3</v>
      </c>
      <c r="HD37" s="1"/>
      <c r="HE37" s="22">
        <v>3432</v>
      </c>
      <c r="HF37" s="1" t="s">
        <v>44</v>
      </c>
      <c r="HG37" s="1">
        <v>2017</v>
      </c>
      <c r="HH37" s="1" t="s">
        <v>54</v>
      </c>
      <c r="HI37" s="1">
        <v>30881.200000000001</v>
      </c>
      <c r="HJ37" s="1">
        <v>5855367.5</v>
      </c>
      <c r="HK37" s="1">
        <v>5.2739986004294E-3</v>
      </c>
      <c r="HL37" s="1"/>
      <c r="HM37" s="22">
        <v>4628</v>
      </c>
      <c r="HN37" s="1" t="s">
        <v>38</v>
      </c>
      <c r="HO37" s="1">
        <v>2017</v>
      </c>
      <c r="HP37" s="1" t="s">
        <v>54</v>
      </c>
      <c r="HQ37" s="1">
        <v>22263.5</v>
      </c>
      <c r="HR37" s="1">
        <v>5923445.7000000002</v>
      </c>
      <c r="HS37" s="1">
        <v>3.7585387167471999E-3</v>
      </c>
      <c r="HT37" s="1"/>
      <c r="HU37" s="22">
        <v>5824</v>
      </c>
      <c r="HV37" s="1" t="s">
        <v>31</v>
      </c>
      <c r="HW37" s="1">
        <v>2017</v>
      </c>
      <c r="HX37" s="1" t="s">
        <v>54</v>
      </c>
      <c r="HY37" s="1">
        <v>29325.4</v>
      </c>
      <c r="HZ37" s="1">
        <v>8686095.3000000007</v>
      </c>
      <c r="IA37" s="1">
        <v>3.3761315052576002E-3</v>
      </c>
      <c r="IB37" s="1"/>
      <c r="IC37" s="22">
        <v>7020</v>
      </c>
      <c r="ID37" s="1" t="s">
        <v>51</v>
      </c>
      <c r="IE37" s="1">
        <v>2017</v>
      </c>
      <c r="IF37" s="1" t="s">
        <v>54</v>
      </c>
      <c r="IG37" s="1">
        <v>12227.9</v>
      </c>
      <c r="IH37" s="1">
        <v>4472691.8</v>
      </c>
      <c r="II37" s="1">
        <v>2.7339017635866999E-3</v>
      </c>
      <c r="IJ37" s="1"/>
      <c r="IK37" s="22">
        <v>8216</v>
      </c>
      <c r="IL37" s="1" t="s">
        <v>57</v>
      </c>
      <c r="IM37" s="1">
        <v>2017</v>
      </c>
      <c r="IN37" s="1" t="s">
        <v>54</v>
      </c>
      <c r="IO37" s="1">
        <v>27279.9</v>
      </c>
      <c r="IP37" s="1">
        <v>10750260.5</v>
      </c>
      <c r="IQ37" s="1">
        <v>2.5376036236517E-3</v>
      </c>
      <c r="IR37" s="1"/>
      <c r="IS37" s="22">
        <v>1086</v>
      </c>
      <c r="IT37" s="1" t="s">
        <v>17</v>
      </c>
      <c r="IU37" s="1">
        <v>2018</v>
      </c>
      <c r="IV37" s="1" t="s">
        <v>54</v>
      </c>
      <c r="IW37" s="1">
        <v>21122.9</v>
      </c>
      <c r="IX37" s="1">
        <v>3904165.4</v>
      </c>
      <c r="IY37" s="1">
        <v>5.4103496742222996E-3</v>
      </c>
      <c r="IZ37" s="1"/>
      <c r="JA37" s="22">
        <v>2282</v>
      </c>
      <c r="JB37" s="1" t="s">
        <v>61</v>
      </c>
      <c r="JC37" s="1">
        <v>2018</v>
      </c>
      <c r="JD37" s="1" t="s">
        <v>54</v>
      </c>
      <c r="JE37" s="1">
        <v>216721.5</v>
      </c>
      <c r="JF37" s="1">
        <v>46669099.200000003</v>
      </c>
      <c r="JG37" s="1">
        <v>4.6437900819821E-3</v>
      </c>
      <c r="JH37" s="1"/>
      <c r="JI37" s="22">
        <v>3478</v>
      </c>
      <c r="JJ37" s="1" t="s">
        <v>44</v>
      </c>
      <c r="JK37" s="1">
        <v>2018</v>
      </c>
      <c r="JL37" s="1" t="s">
        <v>54</v>
      </c>
      <c r="JM37" s="1">
        <v>35003.1</v>
      </c>
      <c r="JN37" s="1">
        <v>6336724.7000000002</v>
      </c>
      <c r="JO37" s="1">
        <v>5.5238473591885003E-3</v>
      </c>
      <c r="JP37" s="1"/>
      <c r="JQ37" s="22">
        <v>4674</v>
      </c>
      <c r="JR37" s="1" t="s">
        <v>38</v>
      </c>
      <c r="JS37" s="1">
        <v>2018</v>
      </c>
      <c r="JT37" s="1" t="s">
        <v>54</v>
      </c>
      <c r="JU37" s="1">
        <v>24186.2</v>
      </c>
      <c r="JV37" s="1">
        <v>6390706</v>
      </c>
      <c r="JW37" s="1">
        <v>3.7845896838314E-3</v>
      </c>
      <c r="JX37" s="1"/>
      <c r="JY37" s="22">
        <v>5870</v>
      </c>
      <c r="JZ37" s="1" t="s">
        <v>31</v>
      </c>
      <c r="KA37" s="1">
        <v>2018</v>
      </c>
      <c r="KB37" s="1" t="s">
        <v>54</v>
      </c>
      <c r="KC37" s="1">
        <v>31062</v>
      </c>
      <c r="KD37" s="1">
        <v>9443218.3000000007</v>
      </c>
      <c r="KE37" s="1">
        <v>3.2893446930057002E-3</v>
      </c>
      <c r="KF37" s="1"/>
      <c r="KG37" s="22">
        <v>7066</v>
      </c>
      <c r="KH37" s="1" t="s">
        <v>51</v>
      </c>
      <c r="KI37" s="1">
        <v>2018</v>
      </c>
      <c r="KJ37" s="1" t="s">
        <v>54</v>
      </c>
      <c r="KK37" s="1">
        <v>12164.1</v>
      </c>
      <c r="KL37" s="1">
        <v>4803387.8</v>
      </c>
      <c r="KM37" s="1">
        <v>2.5324001530751998E-3</v>
      </c>
      <c r="KN37" s="1"/>
      <c r="KO37" s="22">
        <v>8262</v>
      </c>
      <c r="KP37" s="1" t="s">
        <v>57</v>
      </c>
      <c r="KQ37" s="1">
        <v>2018</v>
      </c>
      <c r="KR37" s="1" t="s">
        <v>54</v>
      </c>
      <c r="KS37" s="1">
        <v>29284.6</v>
      </c>
      <c r="KT37" s="1">
        <v>11172914.4</v>
      </c>
      <c r="KU37" s="1">
        <v>2.6210350273514998E-3</v>
      </c>
      <c r="KV37" s="1"/>
      <c r="KW37" s="22">
        <v>1132</v>
      </c>
      <c r="KX37" s="1" t="s">
        <v>17</v>
      </c>
      <c r="KY37" s="1">
        <v>2019</v>
      </c>
      <c r="KZ37" s="1" t="s">
        <v>54</v>
      </c>
      <c r="LA37" s="1">
        <v>22355.4</v>
      </c>
      <c r="LB37" s="1">
        <v>3955328</v>
      </c>
      <c r="LC37" s="1">
        <v>5.6519712145238002E-3</v>
      </c>
      <c r="LD37" s="1"/>
      <c r="LE37" s="22">
        <v>2328</v>
      </c>
      <c r="LF37" s="1" t="s">
        <v>61</v>
      </c>
      <c r="LG37" s="1">
        <v>2019</v>
      </c>
      <c r="LH37" s="1" t="s">
        <v>54</v>
      </c>
      <c r="LI37" s="1">
        <v>234177.5</v>
      </c>
      <c r="LJ37" s="1">
        <v>48356774.5</v>
      </c>
      <c r="LK37" s="1">
        <v>4.8427030632490998E-3</v>
      </c>
      <c r="LL37" s="1"/>
      <c r="LM37" s="22">
        <v>3524</v>
      </c>
      <c r="LN37" s="1" t="s">
        <v>44</v>
      </c>
      <c r="LO37" s="1">
        <v>2019</v>
      </c>
      <c r="LP37" s="1" t="s">
        <v>54</v>
      </c>
      <c r="LQ37" s="1">
        <v>34098.1</v>
      </c>
      <c r="LR37" s="1">
        <v>6269787.0999999996</v>
      </c>
      <c r="LS37" s="1">
        <v>5.4384781263146003E-3</v>
      </c>
      <c r="LT37" s="1"/>
      <c r="LU37" s="22">
        <v>4720</v>
      </c>
      <c r="LV37" s="1" t="s">
        <v>38</v>
      </c>
      <c r="LW37" s="1">
        <v>2019</v>
      </c>
      <c r="LX37" s="1" t="s">
        <v>54</v>
      </c>
      <c r="LY37" s="1">
        <v>23205.3</v>
      </c>
      <c r="LZ37" s="1">
        <v>6182094.5</v>
      </c>
      <c r="MA37" s="1">
        <v>3.7536307476373001E-3</v>
      </c>
      <c r="MB37" s="1"/>
      <c r="MC37" s="22">
        <v>5916</v>
      </c>
      <c r="MD37" s="1" t="s">
        <v>31</v>
      </c>
      <c r="ME37" s="1">
        <v>2019</v>
      </c>
      <c r="MF37" s="1" t="s">
        <v>54</v>
      </c>
      <c r="MG37" s="1">
        <v>28688.1</v>
      </c>
      <c r="MH37" s="1">
        <v>9237079</v>
      </c>
      <c r="MI37" s="1">
        <v>3.1057545356057998E-3</v>
      </c>
      <c r="MJ37" s="1"/>
      <c r="MK37" s="22">
        <v>7112</v>
      </c>
      <c r="ML37" s="1" t="s">
        <v>51</v>
      </c>
      <c r="MM37" s="1">
        <v>2019</v>
      </c>
      <c r="MN37" s="1" t="s">
        <v>54</v>
      </c>
      <c r="MO37" s="1">
        <v>12243.9</v>
      </c>
      <c r="MP37" s="1">
        <v>4608662</v>
      </c>
      <c r="MQ37" s="1">
        <v>2.6567146820487002E-3</v>
      </c>
      <c r="MR37" s="1"/>
      <c r="MS37" s="22">
        <v>8308</v>
      </c>
      <c r="MT37" s="1" t="s">
        <v>57</v>
      </c>
      <c r="MU37" s="1">
        <v>2019</v>
      </c>
      <c r="MV37" s="1" t="s">
        <v>54</v>
      </c>
      <c r="MW37" s="1">
        <v>29043.5</v>
      </c>
      <c r="MX37" s="1">
        <v>11338077</v>
      </c>
      <c r="MY37" s="1">
        <v>2.5615895887812E-3</v>
      </c>
      <c r="MZ37" s="1"/>
      <c r="NA37" s="22">
        <v>1178</v>
      </c>
      <c r="NB37" s="1" t="s">
        <v>17</v>
      </c>
      <c r="NC37" s="1">
        <v>2020</v>
      </c>
      <c r="ND37" s="1" t="s">
        <v>54</v>
      </c>
      <c r="NE37" s="1">
        <v>6398</v>
      </c>
      <c r="NF37" s="1">
        <v>3784752.3</v>
      </c>
      <c r="NG37" s="1">
        <v>1.6904672995376E-3</v>
      </c>
      <c r="NH37" s="1"/>
      <c r="NI37" s="22">
        <v>2374</v>
      </c>
      <c r="NJ37" s="1" t="s">
        <v>61</v>
      </c>
      <c r="NK37" s="1">
        <v>2020</v>
      </c>
      <c r="NL37" s="1" t="s">
        <v>54</v>
      </c>
      <c r="NM37" s="1">
        <v>103916.5</v>
      </c>
      <c r="NN37" s="1">
        <v>47421769.399999999</v>
      </c>
      <c r="NO37" s="1">
        <v>2.1913248137889999E-3</v>
      </c>
      <c r="NP37" s="1"/>
      <c r="NQ37" s="22">
        <v>3570</v>
      </c>
      <c r="NR37" s="1" t="s">
        <v>44</v>
      </c>
      <c r="NS37" s="1">
        <v>2020</v>
      </c>
      <c r="NT37" s="1" t="s">
        <v>54</v>
      </c>
      <c r="NU37" s="1">
        <v>11287.2</v>
      </c>
      <c r="NV37" s="1">
        <v>5955345.3666666672</v>
      </c>
      <c r="NW37" s="1">
        <v>1.8953056968243E-3</v>
      </c>
      <c r="NX37" s="1"/>
      <c r="NY37" s="22">
        <v>4766</v>
      </c>
      <c r="NZ37" s="1" t="s">
        <v>38</v>
      </c>
      <c r="OA37" s="1">
        <v>2020</v>
      </c>
      <c r="OB37" s="1" t="s">
        <v>54</v>
      </c>
      <c r="OC37" s="1">
        <v>11087.3</v>
      </c>
      <c r="OD37" s="1">
        <v>5990228.4000000004</v>
      </c>
      <c r="OE37" s="1">
        <v>1.8508977053362E-3</v>
      </c>
      <c r="OF37" s="1"/>
      <c r="OG37" s="22">
        <v>5962</v>
      </c>
      <c r="OH37" s="1" t="s">
        <v>31</v>
      </c>
      <c r="OI37" s="1">
        <v>2020</v>
      </c>
      <c r="OJ37" s="1" t="s">
        <v>54</v>
      </c>
      <c r="OK37" s="1">
        <v>17725.099999999999</v>
      </c>
      <c r="OL37" s="1">
        <v>9257180.0999999996</v>
      </c>
      <c r="OM37" s="1">
        <v>1.9147407535044E-3</v>
      </c>
      <c r="ON37" s="1"/>
      <c r="OO37" s="22">
        <v>7158</v>
      </c>
      <c r="OP37" s="1" t="s">
        <v>51</v>
      </c>
      <c r="OQ37" s="1">
        <v>2020</v>
      </c>
      <c r="OR37" s="1" t="s">
        <v>54</v>
      </c>
      <c r="OS37" s="1">
        <v>6446</v>
      </c>
      <c r="OT37" s="1">
        <v>4352046.4000000004</v>
      </c>
      <c r="OU37" s="1">
        <v>1.4811422966445999E-3</v>
      </c>
      <c r="OV37" s="1"/>
      <c r="OW37" s="22">
        <v>8354</v>
      </c>
      <c r="OX37" s="1" t="s">
        <v>57</v>
      </c>
      <c r="OY37" s="1">
        <v>2020</v>
      </c>
      <c r="OZ37" s="1" t="s">
        <v>54</v>
      </c>
      <c r="PA37" s="1">
        <v>23870.9</v>
      </c>
      <c r="PB37" s="1">
        <v>11082248.733333331</v>
      </c>
      <c r="PC37" s="1">
        <v>2.1539761987293998E-3</v>
      </c>
      <c r="PD37" s="1"/>
      <c r="PE37" s="22">
        <v>8400</v>
      </c>
      <c r="PF37" s="1" t="s">
        <v>17</v>
      </c>
      <c r="PG37" s="1">
        <v>2021</v>
      </c>
      <c r="PH37" s="1" t="s">
        <v>54</v>
      </c>
      <c r="PI37" s="1">
        <v>7815.0290152683101</v>
      </c>
      <c r="PJ37" s="1">
        <v>4622999.2247741111</v>
      </c>
      <c r="PK37" s="1">
        <v>1.6904672995376E-3</v>
      </c>
      <c r="PL37" s="1"/>
      <c r="PM37" s="22">
        <v>9320</v>
      </c>
      <c r="PN37" s="1" t="s">
        <v>61</v>
      </c>
      <c r="PO37" s="1">
        <v>2021</v>
      </c>
      <c r="PP37" s="1" t="s">
        <v>54</v>
      </c>
      <c r="PQ37" s="1">
        <v>115240.9804112558</v>
      </c>
      <c r="PR37" s="1">
        <v>52589638.782026872</v>
      </c>
      <c r="PS37" s="1">
        <v>2.1913248137889999E-3</v>
      </c>
      <c r="PT37" s="1"/>
      <c r="PU37" s="22">
        <v>10240</v>
      </c>
      <c r="PV37" s="1" t="s">
        <v>44</v>
      </c>
      <c r="PW37" s="1">
        <v>2021</v>
      </c>
      <c r="PX37" s="1" t="s">
        <v>54</v>
      </c>
      <c r="PY37" s="1">
        <v>13156.164575530271</v>
      </c>
      <c r="PZ37" s="1">
        <v>6941447.2808129201</v>
      </c>
      <c r="QA37" s="1">
        <v>1.8953056968243E-3</v>
      </c>
      <c r="QB37" s="1"/>
      <c r="QC37" s="22">
        <v>11160</v>
      </c>
      <c r="QD37" s="1" t="s">
        <v>38</v>
      </c>
      <c r="QE37" s="1">
        <v>2021</v>
      </c>
      <c r="QF37" s="1" t="s">
        <v>54</v>
      </c>
      <c r="QG37" s="1">
        <v>12420.9096686843</v>
      </c>
      <c r="QH37" s="1">
        <v>6710748.8614170318</v>
      </c>
      <c r="QI37" s="1">
        <v>1.8508977053362E-3</v>
      </c>
      <c r="QJ37" s="1"/>
      <c r="QK37" s="22">
        <v>12080</v>
      </c>
      <c r="QL37" s="1" t="s">
        <v>31</v>
      </c>
      <c r="QM37" s="1">
        <v>2021</v>
      </c>
      <c r="QN37" s="1" t="s">
        <v>54</v>
      </c>
      <c r="QO37" s="1">
        <v>19561.24714604043</v>
      </c>
      <c r="QP37" s="1">
        <v>10216133.49495957</v>
      </c>
      <c r="QQ37" s="1">
        <v>1.9147407535044E-3</v>
      </c>
      <c r="QR37" s="1"/>
      <c r="QS37" s="22">
        <v>13000</v>
      </c>
      <c r="QT37" s="1" t="s">
        <v>51</v>
      </c>
      <c r="QU37" s="1">
        <v>2021</v>
      </c>
      <c r="QV37" s="1" t="s">
        <v>54</v>
      </c>
      <c r="QW37" s="1">
        <v>7364.264715750468</v>
      </c>
      <c r="QX37" s="1">
        <v>4972017.0252605537</v>
      </c>
      <c r="QY37" s="1">
        <v>1.4811422966445999E-3</v>
      </c>
      <c r="QZ37" s="1"/>
      <c r="RA37" s="22">
        <v>13920</v>
      </c>
      <c r="RB37" s="1" t="s">
        <v>57</v>
      </c>
      <c r="RC37" s="1">
        <v>2021</v>
      </c>
      <c r="RD37" s="1" t="s">
        <v>54</v>
      </c>
      <c r="RE37" s="1">
        <v>23800.43128310356</v>
      </c>
      <c r="RF37" s="1">
        <v>11049533.09007922</v>
      </c>
      <c r="RG37" s="1">
        <v>2.1539761987293998E-3</v>
      </c>
      <c r="RH37" s="1"/>
      <c r="RI37" s="22">
        <v>8446</v>
      </c>
      <c r="RJ37" s="1" t="s">
        <v>17</v>
      </c>
      <c r="RK37" s="1">
        <v>2022</v>
      </c>
      <c r="RL37" s="1" t="s">
        <v>54</v>
      </c>
      <c r="RM37" s="1">
        <v>8464.3428561070905</v>
      </c>
      <c r="RN37" s="1">
        <v>5007102.3902221443</v>
      </c>
      <c r="RO37" s="1">
        <v>1.6904672995376E-3</v>
      </c>
      <c r="RP37" s="1"/>
      <c r="RQ37" s="22">
        <v>9366</v>
      </c>
      <c r="RR37" s="1" t="s">
        <v>61</v>
      </c>
      <c r="RS37" s="1">
        <v>2022</v>
      </c>
      <c r="RT37" s="1" t="s">
        <v>54</v>
      </c>
      <c r="RU37" s="1">
        <v>126558.64793412021</v>
      </c>
      <c r="RV37" s="1">
        <v>57754399.13688051</v>
      </c>
      <c r="RW37" s="1">
        <v>2.1913248137889999E-3</v>
      </c>
      <c r="RX37" s="1"/>
      <c r="RY37" s="22">
        <v>10286</v>
      </c>
      <c r="RZ37" s="1" t="s">
        <v>44</v>
      </c>
      <c r="SA37" s="1">
        <v>2022</v>
      </c>
      <c r="SB37" s="1" t="s">
        <v>54</v>
      </c>
      <c r="SC37" s="1">
        <v>13033.61501049346</v>
      </c>
      <c r="SD37" s="1">
        <v>6876787.7563667288</v>
      </c>
      <c r="SE37" s="1">
        <v>1.8953056968243E-3</v>
      </c>
      <c r="SF37" s="1"/>
      <c r="SG37" s="22">
        <v>11206</v>
      </c>
      <c r="SH37" s="1" t="s">
        <v>38</v>
      </c>
      <c r="SI37" s="1">
        <v>2022</v>
      </c>
      <c r="SJ37" s="1" t="s">
        <v>54</v>
      </c>
      <c r="SK37" s="1">
        <v>11708.548560573459</v>
      </c>
      <c r="SL37" s="1">
        <v>6325875.5612572851</v>
      </c>
      <c r="SM37" s="1">
        <v>1.8508977053362E-3</v>
      </c>
      <c r="SN37" s="1"/>
      <c r="SO37" s="22">
        <v>12126</v>
      </c>
      <c r="SP37" s="1" t="s">
        <v>31</v>
      </c>
      <c r="SQ37" s="1">
        <v>2022</v>
      </c>
      <c r="SR37" s="1" t="s">
        <v>54</v>
      </c>
      <c r="SS37" s="1">
        <v>18730.35637312373</v>
      </c>
      <c r="ST37" s="1">
        <v>9782189.227885304</v>
      </c>
      <c r="SU37" s="1">
        <v>1.9147407535044E-3</v>
      </c>
      <c r="SV37" s="1"/>
      <c r="SW37" s="22">
        <v>13046</v>
      </c>
      <c r="SX37" s="1" t="s">
        <v>51</v>
      </c>
      <c r="SY37" s="1">
        <v>2022</v>
      </c>
      <c r="SZ37" s="1" t="s">
        <v>54</v>
      </c>
      <c r="TA37" s="1">
        <v>7110.3420324195858</v>
      </c>
      <c r="TB37" s="1">
        <v>4800579.963537232</v>
      </c>
      <c r="TC37" s="1">
        <v>1.4811422966445999E-3</v>
      </c>
      <c r="TD37" s="1"/>
      <c r="TE37" s="22">
        <v>13966</v>
      </c>
      <c r="TF37" s="1" t="s">
        <v>57</v>
      </c>
      <c r="TG37" s="1">
        <v>2022</v>
      </c>
      <c r="TH37" s="1" t="s">
        <v>54</v>
      </c>
      <c r="TI37" s="1">
        <v>20132.043365840978</v>
      </c>
      <c r="TJ37" s="1">
        <v>9346455.8140041605</v>
      </c>
      <c r="TK37" s="1">
        <v>2.1539761987293998E-3</v>
      </c>
      <c r="TL37" s="1"/>
      <c r="TM37" s="22">
        <v>8492</v>
      </c>
      <c r="TN37" s="1" t="s">
        <v>17</v>
      </c>
      <c r="TO37" s="1">
        <v>2023</v>
      </c>
      <c r="TP37" s="1" t="s">
        <v>54</v>
      </c>
      <c r="TQ37" s="1">
        <v>8398.3797110549094</v>
      </c>
      <c r="TR37" s="1">
        <v>4968081.7329930915</v>
      </c>
      <c r="TS37" s="1">
        <v>1.6904672995376E-3</v>
      </c>
      <c r="TT37" s="1"/>
      <c r="TU37" s="22">
        <v>9412</v>
      </c>
      <c r="TV37" s="1" t="s">
        <v>61</v>
      </c>
      <c r="TW37" s="1">
        <v>2023</v>
      </c>
      <c r="TX37" s="1" t="s">
        <v>54</v>
      </c>
      <c r="TY37" s="1">
        <v>134898.5965950331</v>
      </c>
      <c r="TZ37" s="1">
        <v>61560292.543660469</v>
      </c>
      <c r="UA37" s="1">
        <v>2.1913248137889999E-3</v>
      </c>
      <c r="UB37" s="1"/>
      <c r="UC37" s="22">
        <v>10332</v>
      </c>
      <c r="UD37" s="1" t="s">
        <v>44</v>
      </c>
      <c r="UE37" s="1">
        <v>2023</v>
      </c>
      <c r="UF37" s="1" t="s">
        <v>54</v>
      </c>
      <c r="UG37" s="1">
        <v>14104.33323889914</v>
      </c>
      <c r="UH37" s="1">
        <v>7441719.4347760417</v>
      </c>
      <c r="UI37" s="1">
        <v>1.8953056968243E-3</v>
      </c>
      <c r="UJ37" s="1"/>
      <c r="UK37" s="22">
        <v>11252</v>
      </c>
      <c r="UL37" s="1" t="s">
        <v>38</v>
      </c>
      <c r="UM37" s="1">
        <v>2023</v>
      </c>
      <c r="UN37" s="1" t="s">
        <v>54</v>
      </c>
      <c r="UO37" s="1">
        <v>12778.49292050742</v>
      </c>
      <c r="UP37" s="1">
        <v>6903943.3587640161</v>
      </c>
      <c r="UQ37" s="1">
        <v>1.8508977053362E-3</v>
      </c>
      <c r="UR37" s="1"/>
      <c r="US37" s="22">
        <v>12172</v>
      </c>
      <c r="UT37" s="1" t="s">
        <v>31</v>
      </c>
      <c r="UU37" s="1">
        <v>2023</v>
      </c>
      <c r="UV37" s="1" t="s">
        <v>54</v>
      </c>
      <c r="UW37" s="1">
        <v>20359.298164532149</v>
      </c>
      <c r="UX37" s="1">
        <v>10632926.743356841</v>
      </c>
      <c r="UY37" s="1">
        <v>1.9147407535044E-3</v>
      </c>
      <c r="UZ37" s="1"/>
      <c r="VA37" s="22">
        <v>13092</v>
      </c>
      <c r="VB37" s="1" t="s">
        <v>51</v>
      </c>
      <c r="VC37" s="1">
        <v>2023</v>
      </c>
      <c r="VD37" s="1" t="s">
        <v>54</v>
      </c>
      <c r="VE37" s="1">
        <v>7788.0324092518313</v>
      </c>
      <c r="VF37" s="1">
        <v>5258125.7228930313</v>
      </c>
      <c r="VG37" s="1">
        <v>1.4811422966445999E-3</v>
      </c>
      <c r="VH37" s="1"/>
      <c r="VI37" s="22">
        <v>14012</v>
      </c>
      <c r="VJ37" s="1" t="s">
        <v>57</v>
      </c>
      <c r="VK37" s="1">
        <v>2023</v>
      </c>
      <c r="VL37" s="1" t="s">
        <v>54</v>
      </c>
      <c r="VM37" s="1">
        <v>19899.241552450989</v>
      </c>
      <c r="VN37" s="1">
        <v>9238375.7834414635</v>
      </c>
      <c r="VO37" s="1">
        <v>2.1539761987293998E-3</v>
      </c>
      <c r="VP37" s="1"/>
      <c r="VQ37" s="22">
        <v>8538</v>
      </c>
      <c r="VR37" s="1" t="s">
        <v>17</v>
      </c>
      <c r="VS37" s="1">
        <v>2024</v>
      </c>
      <c r="VT37" s="1" t="s">
        <v>54</v>
      </c>
      <c r="VU37" s="1">
        <v>8660.80251014651</v>
      </c>
      <c r="VV37" s="1">
        <v>5123318.5714479852</v>
      </c>
      <c r="VW37" s="1">
        <v>1.6904672995376E-3</v>
      </c>
      <c r="VX37" s="1"/>
      <c r="VY37" s="22">
        <v>9458</v>
      </c>
      <c r="VZ37" s="1" t="s">
        <v>61</v>
      </c>
      <c r="WA37" s="1">
        <v>2024</v>
      </c>
      <c r="WB37" s="1" t="s">
        <v>54</v>
      </c>
      <c r="WC37" s="1">
        <v>142023.90458272639</v>
      </c>
      <c r="WD37" s="1">
        <v>64811890.820126347</v>
      </c>
      <c r="WE37" s="1">
        <v>2.1913248137889999E-3</v>
      </c>
      <c r="WF37" s="1"/>
      <c r="WG37" s="22">
        <v>10378</v>
      </c>
      <c r="WH37" s="1" t="s">
        <v>44</v>
      </c>
      <c r="WI37" s="1">
        <v>2024</v>
      </c>
      <c r="WJ37" s="1" t="s">
        <v>54</v>
      </c>
      <c r="WK37" s="1">
        <v>15251.017130058181</v>
      </c>
      <c r="WL37" s="1">
        <v>8046732.0684004631</v>
      </c>
      <c r="WM37" s="1">
        <v>1.8953056968243E-3</v>
      </c>
      <c r="WN37" s="1"/>
      <c r="WO37" s="22">
        <v>11298</v>
      </c>
      <c r="WP37" s="1" t="s">
        <v>38</v>
      </c>
      <c r="WQ37" s="1">
        <v>2024</v>
      </c>
      <c r="WR37" s="1" t="s">
        <v>54</v>
      </c>
      <c r="WS37" s="1">
        <v>13240.127036590529</v>
      </c>
      <c r="WT37" s="1">
        <v>7153354.2877160665</v>
      </c>
      <c r="WU37" s="1">
        <v>1.8508977053362E-3</v>
      </c>
      <c r="WV37" s="1"/>
      <c r="WW37" s="22">
        <v>12218</v>
      </c>
      <c r="WX37" s="1" t="s">
        <v>31</v>
      </c>
      <c r="WY37" s="1">
        <v>2024</v>
      </c>
      <c r="WZ37" s="1" t="s">
        <v>54</v>
      </c>
      <c r="XA37" s="1">
        <v>20963.1447722669</v>
      </c>
      <c r="XB37" s="1">
        <v>10948294.03609846</v>
      </c>
      <c r="XC37" s="1">
        <v>1.9147407535044E-3</v>
      </c>
      <c r="XD37" s="1"/>
      <c r="XE37" s="22">
        <v>13138</v>
      </c>
      <c r="XF37" s="1" t="s">
        <v>51</v>
      </c>
      <c r="XG37" s="1">
        <v>2024</v>
      </c>
      <c r="XH37" s="1" t="s">
        <v>54</v>
      </c>
      <c r="XI37" s="1">
        <v>8018.3673852410902</v>
      </c>
      <c r="XJ37" s="1">
        <v>5413637.436055948</v>
      </c>
      <c r="XK37" s="1">
        <v>1.4811422966445999E-3</v>
      </c>
      <c r="XL37" s="1"/>
      <c r="XM37" s="22">
        <v>14058</v>
      </c>
      <c r="XN37" s="1" t="s">
        <v>57</v>
      </c>
      <c r="XO37" s="1">
        <v>2024</v>
      </c>
      <c r="XP37" s="1" t="s">
        <v>54</v>
      </c>
      <c r="XQ37" s="1">
        <v>19016.20996325657</v>
      </c>
      <c r="XR37" s="1">
        <v>8828421.583522588</v>
      </c>
      <c r="XS37" s="1">
        <v>2.1539761987293998E-3</v>
      </c>
      <c r="XT37" s="1"/>
    </row>
    <row r="38" spans="1:644" x14ac:dyDescent="0.25">
      <c r="A38" s="2">
        <v>29</v>
      </c>
      <c r="B38" s="1" t="s">
        <v>17</v>
      </c>
      <c r="C38" s="1" t="s">
        <v>55</v>
      </c>
      <c r="D38" s="1">
        <v>7.7746144308044806E-3</v>
      </c>
      <c r="E38" s="1">
        <v>8.4168421452942219E-3</v>
      </c>
      <c r="F38" s="1">
        <v>8.9641211673938421E-3</v>
      </c>
      <c r="G38" s="1">
        <v>9.297032006711229E-3</v>
      </c>
      <c r="H38" s="1">
        <v>9.6376808216168293E-3</v>
      </c>
      <c r="I38" s="1">
        <v>9.6057267564156508E-3</v>
      </c>
      <c r="J38" s="1">
        <v>8.7270704611237052E-3</v>
      </c>
      <c r="K38" s="1">
        <v>8.7270704611237173E-3</v>
      </c>
      <c r="L38" s="1">
        <v>8.7270704611237173E-3</v>
      </c>
      <c r="M38" s="1">
        <v>8.727070461123719E-3</v>
      </c>
      <c r="N38" s="1">
        <v>8.727070461123719E-3</v>
      </c>
      <c r="O38" s="1">
        <v>8.8483063303504399E-3</v>
      </c>
      <c r="P38" s="1"/>
      <c r="Q38" s="2">
        <v>222</v>
      </c>
      <c r="R38" s="1" t="s">
        <v>51</v>
      </c>
      <c r="S38" s="1" t="s">
        <v>29</v>
      </c>
      <c r="T38" s="1">
        <v>4.4934047824125523E-2</v>
      </c>
      <c r="U38" s="1"/>
      <c r="AC38" s="22">
        <v>903</v>
      </c>
      <c r="AD38" s="1" t="s">
        <v>17</v>
      </c>
      <c r="AE38" s="1">
        <v>2014</v>
      </c>
      <c r="AF38" s="1" t="s">
        <v>55</v>
      </c>
      <c r="AG38" s="1">
        <v>31784.3</v>
      </c>
      <c r="AH38" s="1">
        <v>4088215.6</v>
      </c>
      <c r="AI38" s="1">
        <v>7.7746144308044E-3</v>
      </c>
      <c r="AJ38" s="1"/>
      <c r="AK38" s="22">
        <v>2099</v>
      </c>
      <c r="AL38" s="1" t="s">
        <v>61</v>
      </c>
      <c r="AM38" s="1">
        <v>2014</v>
      </c>
      <c r="AN38" s="1" t="s">
        <v>55</v>
      </c>
      <c r="AO38" s="1">
        <v>241737.5</v>
      </c>
      <c r="AP38" s="1">
        <v>40350049.200000003</v>
      </c>
      <c r="AQ38" s="1">
        <v>5.9910088040239003E-3</v>
      </c>
      <c r="AR38" s="1"/>
      <c r="AS38" s="22">
        <v>3295</v>
      </c>
      <c r="AT38" s="1" t="s">
        <v>44</v>
      </c>
      <c r="AU38" s="1">
        <v>2014</v>
      </c>
      <c r="AV38" s="1" t="s">
        <v>55</v>
      </c>
      <c r="AW38" s="1">
        <v>71762.100000000006</v>
      </c>
      <c r="AX38" s="1">
        <v>6735816.8000000007</v>
      </c>
      <c r="AY38" s="1">
        <v>1.06538081617659E-2</v>
      </c>
      <c r="AZ38" s="1"/>
      <c r="BA38" s="22">
        <v>4491</v>
      </c>
      <c r="BB38" s="1" t="s">
        <v>38</v>
      </c>
      <c r="BC38" s="1">
        <v>2014</v>
      </c>
      <c r="BD38" s="1" t="s">
        <v>55</v>
      </c>
      <c r="BE38" s="1">
        <v>80672.399999999994</v>
      </c>
      <c r="BF38" s="1">
        <v>6538596.7000000002</v>
      </c>
      <c r="BG38" s="1">
        <v>1.23378767190213E-2</v>
      </c>
      <c r="BH38" s="1"/>
      <c r="BI38" s="22">
        <v>5687</v>
      </c>
      <c r="BJ38" s="1" t="s">
        <v>31</v>
      </c>
      <c r="BK38" s="1">
        <v>2014</v>
      </c>
      <c r="BL38" s="1" t="s">
        <v>55</v>
      </c>
      <c r="BM38" s="1">
        <v>169844.7</v>
      </c>
      <c r="BN38" s="1">
        <v>9155477.5</v>
      </c>
      <c r="BO38" s="1">
        <v>1.85511569440261E-2</v>
      </c>
      <c r="BP38" s="1"/>
      <c r="BQ38" s="22">
        <v>6883</v>
      </c>
      <c r="BR38" s="1" t="s">
        <v>51</v>
      </c>
      <c r="BS38" s="1">
        <v>2014</v>
      </c>
      <c r="BT38" s="1" t="s">
        <v>55</v>
      </c>
      <c r="BU38" s="1">
        <v>87383.9</v>
      </c>
      <c r="BV38" s="1">
        <v>4981875.5</v>
      </c>
      <c r="BW38" s="1">
        <v>1.7540362058425501E-2</v>
      </c>
      <c r="BX38" s="1"/>
      <c r="BY38" s="22">
        <v>8079</v>
      </c>
      <c r="BZ38" s="1" t="s">
        <v>57</v>
      </c>
      <c r="CA38" s="1">
        <v>2014</v>
      </c>
      <c r="CB38" s="1" t="s">
        <v>55</v>
      </c>
      <c r="CC38" s="1">
        <v>98466.4</v>
      </c>
      <c r="CD38" s="1">
        <v>11026913.800000001</v>
      </c>
      <c r="CE38" s="1">
        <v>8.9296426711886999E-3</v>
      </c>
      <c r="CF38" s="1"/>
      <c r="CG38" s="22">
        <v>949</v>
      </c>
      <c r="CH38" s="1" t="s">
        <v>17</v>
      </c>
      <c r="CI38" s="1">
        <v>2015</v>
      </c>
      <c r="CJ38" s="1" t="s">
        <v>55</v>
      </c>
      <c r="CK38" s="1">
        <v>29923</v>
      </c>
      <c r="CL38" s="1">
        <v>3555133.8</v>
      </c>
      <c r="CM38" s="1">
        <v>8.4168421452941993E-3</v>
      </c>
      <c r="CN38" s="1"/>
      <c r="CO38" s="22">
        <v>2145</v>
      </c>
      <c r="CP38" s="1" t="s">
        <v>61</v>
      </c>
      <c r="CQ38" s="1">
        <v>2015</v>
      </c>
      <c r="CR38" s="1" t="s">
        <v>55</v>
      </c>
      <c r="CS38" s="1">
        <v>252793.3</v>
      </c>
      <c r="CT38" s="1">
        <v>41208556.399999999</v>
      </c>
      <c r="CU38" s="1">
        <v>6.1344857011296997E-3</v>
      </c>
      <c r="CV38" s="1"/>
      <c r="CW38" s="22">
        <v>3341</v>
      </c>
      <c r="CX38" s="1" t="s">
        <v>44</v>
      </c>
      <c r="CY38" s="1">
        <v>2015</v>
      </c>
      <c r="CZ38" s="1" t="s">
        <v>55</v>
      </c>
      <c r="DA38" s="1">
        <v>68466.600000000006</v>
      </c>
      <c r="DB38" s="1">
        <v>6404349.4000000004</v>
      </c>
      <c r="DC38" s="1">
        <v>1.06906409572219E-2</v>
      </c>
      <c r="DD38" s="1"/>
      <c r="DE38" s="22">
        <v>4537</v>
      </c>
      <c r="DF38" s="1" t="s">
        <v>38</v>
      </c>
      <c r="DG38" s="1">
        <v>2015</v>
      </c>
      <c r="DH38" s="1" t="s">
        <v>55</v>
      </c>
      <c r="DI38" s="1">
        <v>68086.399999999994</v>
      </c>
      <c r="DJ38" s="1">
        <v>5531517.5999999996</v>
      </c>
      <c r="DK38" s="1">
        <v>1.23088101536547E-2</v>
      </c>
      <c r="DL38" s="1"/>
      <c r="DM38" s="22">
        <v>5733</v>
      </c>
      <c r="DN38" s="1" t="s">
        <v>31</v>
      </c>
      <c r="DO38" s="1">
        <v>2015</v>
      </c>
      <c r="DP38" s="1" t="s">
        <v>55</v>
      </c>
      <c r="DQ38" s="1">
        <v>140934.29999999999</v>
      </c>
      <c r="DR38" s="1">
        <v>7894528</v>
      </c>
      <c r="DS38" s="1">
        <v>1.7852150248881201E-2</v>
      </c>
      <c r="DT38" s="1"/>
      <c r="DU38" s="22">
        <v>6929</v>
      </c>
      <c r="DV38" s="1" t="s">
        <v>51</v>
      </c>
      <c r="DW38" s="1">
        <v>2015</v>
      </c>
      <c r="DX38" s="1" t="s">
        <v>55</v>
      </c>
      <c r="DY38" s="1">
        <v>74387.600000000006</v>
      </c>
      <c r="DZ38" s="1">
        <v>4209274.5999999996</v>
      </c>
      <c r="EA38" s="1">
        <v>1.76723086681016E-2</v>
      </c>
      <c r="EB38" s="1"/>
      <c r="EC38" s="22">
        <v>8125</v>
      </c>
      <c r="ED38" s="1" t="s">
        <v>57</v>
      </c>
      <c r="EE38" s="1">
        <v>2015</v>
      </c>
      <c r="EF38" s="1" t="s">
        <v>55</v>
      </c>
      <c r="EG38" s="1">
        <v>90003.3</v>
      </c>
      <c r="EH38" s="1">
        <v>9729477.0999999996</v>
      </c>
      <c r="EI38" s="1">
        <v>9.2505793553900005E-3</v>
      </c>
      <c r="EJ38" s="1"/>
      <c r="EK38" s="22">
        <v>995</v>
      </c>
      <c r="EL38" s="1" t="s">
        <v>17</v>
      </c>
      <c r="EM38" s="1">
        <v>2016</v>
      </c>
      <c r="EN38" s="1" t="s">
        <v>55</v>
      </c>
      <c r="EO38" s="1">
        <v>31046.400000000001</v>
      </c>
      <c r="EP38" s="1">
        <v>3463407</v>
      </c>
      <c r="EQ38" s="1">
        <v>8.9641211673938005E-3</v>
      </c>
      <c r="ER38" s="1"/>
      <c r="ES38" s="22">
        <v>2191</v>
      </c>
      <c r="ET38" s="1" t="s">
        <v>61</v>
      </c>
      <c r="EU38" s="1">
        <v>2016</v>
      </c>
      <c r="EV38" s="1" t="s">
        <v>55</v>
      </c>
      <c r="EW38" s="1">
        <v>263384.3</v>
      </c>
      <c r="EX38" s="1">
        <v>42141395.200000003</v>
      </c>
      <c r="EY38" s="1">
        <v>6.2500137631893004E-3</v>
      </c>
      <c r="EZ38" s="1"/>
      <c r="FA38" s="22">
        <v>3387</v>
      </c>
      <c r="FB38" s="1" t="s">
        <v>44</v>
      </c>
      <c r="FC38" s="1">
        <v>2016</v>
      </c>
      <c r="FD38" s="1" t="s">
        <v>55</v>
      </c>
      <c r="FE38" s="1">
        <v>63127.1</v>
      </c>
      <c r="FF38" s="1">
        <v>5868597.7999999998</v>
      </c>
      <c r="FG38" s="1">
        <v>1.07567603286768E-2</v>
      </c>
      <c r="FH38" s="1"/>
      <c r="FI38" s="22">
        <v>4583</v>
      </c>
      <c r="FJ38" s="1" t="s">
        <v>38</v>
      </c>
      <c r="FK38" s="1">
        <v>2016</v>
      </c>
      <c r="FL38" s="1" t="s">
        <v>55</v>
      </c>
      <c r="FM38" s="1">
        <v>69364.100000000006</v>
      </c>
      <c r="FN38" s="1">
        <v>5582986.5</v>
      </c>
      <c r="FO38" s="1">
        <v>1.24241926789541E-2</v>
      </c>
      <c r="FP38" s="1"/>
      <c r="FQ38" s="22">
        <v>5779</v>
      </c>
      <c r="FR38" s="1" t="s">
        <v>31</v>
      </c>
      <c r="FS38" s="1">
        <v>2016</v>
      </c>
      <c r="FT38" s="1" t="s">
        <v>55</v>
      </c>
      <c r="FU38" s="1">
        <v>145228.5</v>
      </c>
      <c r="FV38" s="1">
        <v>8130820.9000000004</v>
      </c>
      <c r="FW38" s="1">
        <v>1.7861480628604098E-2</v>
      </c>
      <c r="FX38" s="1"/>
      <c r="FY38" s="22">
        <v>6975</v>
      </c>
      <c r="FZ38" s="1" t="s">
        <v>51</v>
      </c>
      <c r="GA38" s="1">
        <v>2016</v>
      </c>
      <c r="GB38" s="1" t="s">
        <v>55</v>
      </c>
      <c r="GC38" s="1">
        <v>74344.2</v>
      </c>
      <c r="GD38" s="1">
        <v>4230502.5999999996</v>
      </c>
      <c r="GE38" s="1">
        <v>1.7573372960460999E-2</v>
      </c>
      <c r="GF38" s="1"/>
      <c r="GG38" s="22">
        <v>8171</v>
      </c>
      <c r="GH38" s="1" t="s">
        <v>57</v>
      </c>
      <c r="GI38" s="1">
        <v>2016</v>
      </c>
      <c r="GJ38" s="1" t="s">
        <v>55</v>
      </c>
      <c r="GK38" s="1">
        <v>100254.5</v>
      </c>
      <c r="GL38" s="1">
        <v>10773649.5</v>
      </c>
      <c r="GM38" s="1">
        <v>9.3055282706199002E-3</v>
      </c>
      <c r="GN38" s="1"/>
      <c r="GO38" s="22">
        <v>1041</v>
      </c>
      <c r="GP38" s="1" t="s">
        <v>17</v>
      </c>
      <c r="GQ38" s="1">
        <v>2017</v>
      </c>
      <c r="GR38" s="1" t="s">
        <v>55</v>
      </c>
      <c r="GS38" s="1">
        <v>34582.5</v>
      </c>
      <c r="GT38" s="1">
        <v>3719735.5</v>
      </c>
      <c r="GU38" s="1">
        <v>9.2970320067111995E-3</v>
      </c>
      <c r="GV38" s="1"/>
      <c r="GW38" s="22">
        <v>2237</v>
      </c>
      <c r="GX38" s="1" t="s">
        <v>61</v>
      </c>
      <c r="GY38" s="1">
        <v>2017</v>
      </c>
      <c r="GZ38" s="1" t="s">
        <v>55</v>
      </c>
      <c r="HA38" s="1">
        <v>274550.09999999998</v>
      </c>
      <c r="HB38" s="1">
        <v>44107004.100000001</v>
      </c>
      <c r="HC38" s="1">
        <v>6.2246372339760997E-3</v>
      </c>
      <c r="HD38" s="1"/>
      <c r="HE38" s="22">
        <v>3433</v>
      </c>
      <c r="HF38" s="1" t="s">
        <v>44</v>
      </c>
      <c r="HG38" s="1">
        <v>2017</v>
      </c>
      <c r="HH38" s="1" t="s">
        <v>55</v>
      </c>
      <c r="HI38" s="1">
        <v>62857.7</v>
      </c>
      <c r="HJ38" s="1">
        <v>5855367.5</v>
      </c>
      <c r="HK38" s="1">
        <v>1.0735056339333001E-2</v>
      </c>
      <c r="HL38" s="1"/>
      <c r="HM38" s="22">
        <v>4629</v>
      </c>
      <c r="HN38" s="1" t="s">
        <v>38</v>
      </c>
      <c r="HO38" s="1">
        <v>2017</v>
      </c>
      <c r="HP38" s="1" t="s">
        <v>55</v>
      </c>
      <c r="HQ38" s="1">
        <v>75733.8</v>
      </c>
      <c r="HR38" s="1">
        <v>5923445.7000000002</v>
      </c>
      <c r="HS38" s="1">
        <v>1.2785429939874301E-2</v>
      </c>
      <c r="HT38" s="1"/>
      <c r="HU38" s="22">
        <v>5825</v>
      </c>
      <c r="HV38" s="1" t="s">
        <v>31</v>
      </c>
      <c r="HW38" s="1">
        <v>2017</v>
      </c>
      <c r="HX38" s="1" t="s">
        <v>55</v>
      </c>
      <c r="HY38" s="1">
        <v>155987.79999999999</v>
      </c>
      <c r="HZ38" s="1">
        <v>8686095.3000000007</v>
      </c>
      <c r="IA38" s="1">
        <v>1.7958333936308499E-2</v>
      </c>
      <c r="IB38" s="1"/>
      <c r="IC38" s="22">
        <v>7021</v>
      </c>
      <c r="ID38" s="1" t="s">
        <v>51</v>
      </c>
      <c r="IE38" s="1">
        <v>2017</v>
      </c>
      <c r="IF38" s="1" t="s">
        <v>55</v>
      </c>
      <c r="IG38" s="1">
        <v>79085.3</v>
      </c>
      <c r="IH38" s="1">
        <v>4472691.8</v>
      </c>
      <c r="II38" s="1">
        <v>1.7681812996817699E-2</v>
      </c>
      <c r="IJ38" s="1"/>
      <c r="IK38" s="22">
        <v>8217</v>
      </c>
      <c r="IL38" s="1" t="s">
        <v>57</v>
      </c>
      <c r="IM38" s="1">
        <v>2017</v>
      </c>
      <c r="IN38" s="1" t="s">
        <v>55</v>
      </c>
      <c r="IO38" s="1">
        <v>99868.5</v>
      </c>
      <c r="IP38" s="1">
        <v>10750260.5</v>
      </c>
      <c r="IQ38" s="1">
        <v>9.2898679059915997E-3</v>
      </c>
      <c r="IR38" s="1"/>
      <c r="IS38" s="22">
        <v>1087</v>
      </c>
      <c r="IT38" s="1" t="s">
        <v>17</v>
      </c>
      <c r="IU38" s="1">
        <v>2018</v>
      </c>
      <c r="IV38" s="1" t="s">
        <v>55</v>
      </c>
      <c r="IW38" s="1">
        <v>37627.1</v>
      </c>
      <c r="IX38" s="1">
        <v>3904165.4</v>
      </c>
      <c r="IY38" s="1">
        <v>9.6376808216167998E-3</v>
      </c>
      <c r="IZ38" s="1"/>
      <c r="JA38" s="22">
        <v>2283</v>
      </c>
      <c r="JB38" s="1" t="s">
        <v>61</v>
      </c>
      <c r="JC38" s="1">
        <v>2018</v>
      </c>
      <c r="JD38" s="1" t="s">
        <v>55</v>
      </c>
      <c r="JE38" s="1">
        <v>290865.09999999998</v>
      </c>
      <c r="JF38" s="1">
        <v>46669099.200000003</v>
      </c>
      <c r="JG38" s="1">
        <v>6.2324986979820996E-3</v>
      </c>
      <c r="JH38" s="1"/>
      <c r="JI38" s="22">
        <v>3479</v>
      </c>
      <c r="JJ38" s="1" t="s">
        <v>44</v>
      </c>
      <c r="JK38" s="1">
        <v>2018</v>
      </c>
      <c r="JL38" s="1" t="s">
        <v>55</v>
      </c>
      <c r="JM38" s="1">
        <v>67350</v>
      </c>
      <c r="JN38" s="1">
        <v>6336724.7000000002</v>
      </c>
      <c r="JO38" s="1">
        <v>1.0628519178054199E-2</v>
      </c>
      <c r="JP38" s="1"/>
      <c r="JQ38" s="22">
        <v>4675</v>
      </c>
      <c r="JR38" s="1" t="s">
        <v>38</v>
      </c>
      <c r="JS38" s="1">
        <v>2018</v>
      </c>
      <c r="JT38" s="1" t="s">
        <v>55</v>
      </c>
      <c r="JU38" s="1">
        <v>84222</v>
      </c>
      <c r="JV38" s="1">
        <v>6390706</v>
      </c>
      <c r="JW38" s="1">
        <v>1.3178825625838501E-2</v>
      </c>
      <c r="JX38" s="1"/>
      <c r="JY38" s="22">
        <v>5871</v>
      </c>
      <c r="JZ38" s="1" t="s">
        <v>31</v>
      </c>
      <c r="KA38" s="1">
        <v>2018</v>
      </c>
      <c r="KB38" s="1" t="s">
        <v>55</v>
      </c>
      <c r="KC38" s="1">
        <v>173421.7</v>
      </c>
      <c r="KD38" s="1">
        <v>9443218.3000000007</v>
      </c>
      <c r="KE38" s="1">
        <v>1.8364681879693399E-2</v>
      </c>
      <c r="KF38" s="1"/>
      <c r="KG38" s="22">
        <v>7067</v>
      </c>
      <c r="KH38" s="1" t="s">
        <v>51</v>
      </c>
      <c r="KI38" s="1">
        <v>2018</v>
      </c>
      <c r="KJ38" s="1" t="s">
        <v>55</v>
      </c>
      <c r="KK38" s="1">
        <v>86199</v>
      </c>
      <c r="KL38" s="1">
        <v>4803387.8</v>
      </c>
      <c r="KM38" s="1">
        <v>1.79454592444107E-2</v>
      </c>
      <c r="KN38" s="1"/>
      <c r="KO38" s="22">
        <v>8263</v>
      </c>
      <c r="KP38" s="1" t="s">
        <v>57</v>
      </c>
      <c r="KQ38" s="1">
        <v>2018</v>
      </c>
      <c r="KR38" s="1" t="s">
        <v>55</v>
      </c>
      <c r="KS38" s="1">
        <v>103449.4</v>
      </c>
      <c r="KT38" s="1">
        <v>11172914.4</v>
      </c>
      <c r="KU38" s="1">
        <v>9.2589450072221007E-3</v>
      </c>
      <c r="KV38" s="1"/>
      <c r="KW38" s="22">
        <v>1133</v>
      </c>
      <c r="KX38" s="1" t="s">
        <v>17</v>
      </c>
      <c r="KY38" s="1">
        <v>2019</v>
      </c>
      <c r="KZ38" s="1" t="s">
        <v>55</v>
      </c>
      <c r="LA38" s="1">
        <v>37993.800000000003</v>
      </c>
      <c r="LB38" s="1">
        <v>3955328</v>
      </c>
      <c r="LC38" s="1">
        <v>9.6057267564156005E-3</v>
      </c>
      <c r="LD38" s="1"/>
      <c r="LE38" s="22">
        <v>2329</v>
      </c>
      <c r="LF38" s="1" t="s">
        <v>61</v>
      </c>
      <c r="LG38" s="1">
        <v>2019</v>
      </c>
      <c r="LH38" s="1" t="s">
        <v>55</v>
      </c>
      <c r="LI38" s="1">
        <v>300744.90000000002</v>
      </c>
      <c r="LJ38" s="1">
        <v>48356774.5</v>
      </c>
      <c r="LK38" s="1">
        <v>6.2192919835874997E-3</v>
      </c>
      <c r="LL38" s="1"/>
      <c r="LM38" s="22">
        <v>3525</v>
      </c>
      <c r="LN38" s="1" t="s">
        <v>44</v>
      </c>
      <c r="LO38" s="1">
        <v>2019</v>
      </c>
      <c r="LP38" s="1" t="s">
        <v>55</v>
      </c>
      <c r="LQ38" s="1">
        <v>66333.899999999994</v>
      </c>
      <c r="LR38" s="1">
        <v>6269787.0999999996</v>
      </c>
      <c r="LS38" s="1">
        <v>1.05799286230947E-2</v>
      </c>
      <c r="LT38" s="1"/>
      <c r="LU38" s="22">
        <v>4721</v>
      </c>
      <c r="LV38" s="1" t="s">
        <v>38</v>
      </c>
      <c r="LW38" s="1">
        <v>2019</v>
      </c>
      <c r="LX38" s="1" t="s">
        <v>55</v>
      </c>
      <c r="LY38" s="1">
        <v>83039.600000000006</v>
      </c>
      <c r="LZ38" s="1">
        <v>6182094.5</v>
      </c>
      <c r="MA38" s="1">
        <v>1.3432276067601299E-2</v>
      </c>
      <c r="MB38" s="1"/>
      <c r="MC38" s="22">
        <v>5917</v>
      </c>
      <c r="MD38" s="1" t="s">
        <v>31</v>
      </c>
      <c r="ME38" s="1">
        <v>2019</v>
      </c>
      <c r="MF38" s="1" t="s">
        <v>55</v>
      </c>
      <c r="MG38" s="1">
        <v>164883.5</v>
      </c>
      <c r="MH38" s="1">
        <v>9237079</v>
      </c>
      <c r="MI38" s="1">
        <v>1.7850177529065099E-2</v>
      </c>
      <c r="MJ38" s="1"/>
      <c r="MK38" s="22">
        <v>7113</v>
      </c>
      <c r="ML38" s="1" t="s">
        <v>51</v>
      </c>
      <c r="MM38" s="1">
        <v>2019</v>
      </c>
      <c r="MN38" s="1" t="s">
        <v>55</v>
      </c>
      <c r="MO38" s="1">
        <v>83559.199999999997</v>
      </c>
      <c r="MP38" s="1">
        <v>4608662</v>
      </c>
      <c r="MQ38" s="1">
        <v>1.8130902201116E-2</v>
      </c>
      <c r="MR38" s="1"/>
      <c r="MS38" s="22">
        <v>8309</v>
      </c>
      <c r="MT38" s="1" t="s">
        <v>57</v>
      </c>
      <c r="MU38" s="1">
        <v>2019</v>
      </c>
      <c r="MV38" s="1" t="s">
        <v>55</v>
      </c>
      <c r="MW38" s="1">
        <v>104901.4</v>
      </c>
      <c r="MX38" s="1">
        <v>11338077</v>
      </c>
      <c r="MY38" s="1">
        <v>9.2521333203152006E-3</v>
      </c>
      <c r="MZ38" s="1"/>
      <c r="NA38" s="22">
        <v>1179</v>
      </c>
      <c r="NB38" s="1" t="s">
        <v>17</v>
      </c>
      <c r="NC38" s="1">
        <v>2020</v>
      </c>
      <c r="ND38" s="1" t="s">
        <v>55</v>
      </c>
      <c r="NE38" s="1">
        <v>33029.800000000003</v>
      </c>
      <c r="NF38" s="1">
        <v>3784752.3</v>
      </c>
      <c r="NG38" s="1">
        <v>8.7270704611237E-3</v>
      </c>
      <c r="NH38" s="1"/>
      <c r="NI38" s="22">
        <v>2375</v>
      </c>
      <c r="NJ38" s="1" t="s">
        <v>61</v>
      </c>
      <c r="NK38" s="1">
        <v>2020</v>
      </c>
      <c r="NL38" s="1" t="s">
        <v>55</v>
      </c>
      <c r="NM38" s="1">
        <v>305441.09999999998</v>
      </c>
      <c r="NN38" s="1">
        <v>47421769.399999999</v>
      </c>
      <c r="NO38" s="1">
        <v>6.4409469293230997E-3</v>
      </c>
      <c r="NP38" s="1"/>
      <c r="NQ38" s="22">
        <v>3571</v>
      </c>
      <c r="NR38" s="1" t="s">
        <v>44</v>
      </c>
      <c r="NS38" s="1">
        <v>2020</v>
      </c>
      <c r="NT38" s="1" t="s">
        <v>55</v>
      </c>
      <c r="NU38" s="1">
        <v>64079.5</v>
      </c>
      <c r="NV38" s="1">
        <v>5955345.3666666672</v>
      </c>
      <c r="NW38" s="1">
        <v>1.0759997288934099E-2</v>
      </c>
      <c r="NX38" s="1"/>
      <c r="NY38" s="22">
        <v>4767</v>
      </c>
      <c r="NZ38" s="1" t="s">
        <v>38</v>
      </c>
      <c r="OA38" s="1">
        <v>2020</v>
      </c>
      <c r="OB38" s="1" t="s">
        <v>55</v>
      </c>
      <c r="OC38" s="1">
        <v>75835.8</v>
      </c>
      <c r="OD38" s="1">
        <v>5990228.4000000004</v>
      </c>
      <c r="OE38" s="1">
        <v>1.2659917942360901E-2</v>
      </c>
      <c r="OF38" s="1"/>
      <c r="OG38" s="22">
        <v>5963</v>
      </c>
      <c r="OH38" s="1" t="s">
        <v>31</v>
      </c>
      <c r="OI38" s="1">
        <v>2020</v>
      </c>
      <c r="OJ38" s="1" t="s">
        <v>55</v>
      </c>
      <c r="OK38" s="1">
        <v>165118.70000000001</v>
      </c>
      <c r="OL38" s="1">
        <v>9257180.0999999996</v>
      </c>
      <c r="OM38" s="1">
        <v>1.78368248447494E-2</v>
      </c>
      <c r="ON38" s="1"/>
      <c r="OO38" s="22">
        <v>7159</v>
      </c>
      <c r="OP38" s="1" t="s">
        <v>51</v>
      </c>
      <c r="OQ38" s="1">
        <v>2020</v>
      </c>
      <c r="OR38" s="1" t="s">
        <v>55</v>
      </c>
      <c r="OS38" s="1">
        <v>76990.3</v>
      </c>
      <c r="OT38" s="1">
        <v>4352046.4000000004</v>
      </c>
      <c r="OU38" s="1">
        <v>1.7690597232603002E-2</v>
      </c>
      <c r="OV38" s="1"/>
      <c r="OW38" s="22">
        <v>8355</v>
      </c>
      <c r="OX38" s="1" t="s">
        <v>57</v>
      </c>
      <c r="OY38" s="1">
        <v>2020</v>
      </c>
      <c r="OZ38" s="1" t="s">
        <v>55</v>
      </c>
      <c r="PA38" s="1">
        <v>86674</v>
      </c>
      <c r="PB38" s="1">
        <v>11082248.733333331</v>
      </c>
      <c r="PC38" s="1">
        <v>7.8209758764302001E-3</v>
      </c>
      <c r="PD38" s="1"/>
      <c r="PE38" s="22">
        <v>8401</v>
      </c>
      <c r="PF38" s="1" t="s">
        <v>17</v>
      </c>
      <c r="PG38" s="1">
        <v>2021</v>
      </c>
      <c r="PH38" s="1" t="s">
        <v>55</v>
      </c>
      <c r="PI38" s="1">
        <v>40345.239976323908</v>
      </c>
      <c r="PJ38" s="1">
        <v>4622999.2247741111</v>
      </c>
      <c r="PK38" s="1">
        <v>8.7270704611237E-3</v>
      </c>
      <c r="PL38" s="1"/>
      <c r="PM38" s="22">
        <v>9321</v>
      </c>
      <c r="PN38" s="1" t="s">
        <v>61</v>
      </c>
      <c r="PO38" s="1">
        <v>2021</v>
      </c>
      <c r="PP38" s="1" t="s">
        <v>55</v>
      </c>
      <c r="PQ38" s="1">
        <v>338727.07242730702</v>
      </c>
      <c r="PR38" s="1">
        <v>52589638.782026872</v>
      </c>
      <c r="PS38" s="1">
        <v>6.4409469293230997E-3</v>
      </c>
      <c r="PT38" s="1"/>
      <c r="PU38" s="22">
        <v>10241</v>
      </c>
      <c r="PV38" s="1" t="s">
        <v>44</v>
      </c>
      <c r="PW38" s="1">
        <v>2021</v>
      </c>
      <c r="PX38" s="1" t="s">
        <v>55</v>
      </c>
      <c r="PY38" s="1">
        <v>74689.953922825996</v>
      </c>
      <c r="PZ38" s="1">
        <v>6941447.2808129201</v>
      </c>
      <c r="QA38" s="1">
        <v>1.0759997288934099E-2</v>
      </c>
      <c r="QB38" s="1"/>
      <c r="QC38" s="22">
        <v>11161</v>
      </c>
      <c r="QD38" s="1" t="s">
        <v>38</v>
      </c>
      <c r="QE38" s="1">
        <v>2021</v>
      </c>
      <c r="QF38" s="1" t="s">
        <v>55</v>
      </c>
      <c r="QG38" s="1">
        <v>84957.529917331471</v>
      </c>
      <c r="QH38" s="1">
        <v>6710748.8614170318</v>
      </c>
      <c r="QI38" s="1">
        <v>1.2659917942360901E-2</v>
      </c>
      <c r="QJ38" s="1"/>
      <c r="QK38" s="22">
        <v>12081</v>
      </c>
      <c r="QL38" s="1" t="s">
        <v>31</v>
      </c>
      <c r="QM38" s="1">
        <v>2021</v>
      </c>
      <c r="QN38" s="1" t="s">
        <v>55</v>
      </c>
      <c r="QO38" s="1">
        <v>182223.38374017141</v>
      </c>
      <c r="QP38" s="1">
        <v>10216133.49495957</v>
      </c>
      <c r="QQ38" s="1">
        <v>1.78368248447494E-2</v>
      </c>
      <c r="QR38" s="1"/>
      <c r="QS38" s="22">
        <v>13001</v>
      </c>
      <c r="QT38" s="1" t="s">
        <v>51</v>
      </c>
      <c r="QU38" s="1">
        <v>2021</v>
      </c>
      <c r="QV38" s="1" t="s">
        <v>55</v>
      </c>
      <c r="QW38" s="1">
        <v>87957.950627529353</v>
      </c>
      <c r="QX38" s="1">
        <v>4972017.0252605537</v>
      </c>
      <c r="QY38" s="1">
        <v>1.7690597232603002E-2</v>
      </c>
      <c r="QZ38" s="1"/>
      <c r="RA38" s="22">
        <v>13921</v>
      </c>
      <c r="RB38" s="1" t="s">
        <v>57</v>
      </c>
      <c r="RC38" s="1">
        <v>2021</v>
      </c>
      <c r="RD38" s="1" t="s">
        <v>55</v>
      </c>
      <c r="RE38" s="1">
        <v>86418.131743326812</v>
      </c>
      <c r="RF38" s="1">
        <v>11049533.09007922</v>
      </c>
      <c r="RG38" s="1">
        <v>7.8209758764302001E-3</v>
      </c>
      <c r="RH38" s="1"/>
      <c r="RI38" s="22">
        <v>8447</v>
      </c>
      <c r="RJ38" s="1" t="s">
        <v>17</v>
      </c>
      <c r="RK38" s="1">
        <v>2022</v>
      </c>
      <c r="RL38" s="1" t="s">
        <v>55</v>
      </c>
      <c r="RM38" s="1">
        <v>43697.33536552955</v>
      </c>
      <c r="RN38" s="1">
        <v>5007102.3902221443</v>
      </c>
      <c r="RO38" s="1">
        <v>8.7270704611237E-3</v>
      </c>
      <c r="RP38" s="1"/>
      <c r="RQ38" s="22">
        <v>9367</v>
      </c>
      <c r="RR38" s="1" t="s">
        <v>61</v>
      </c>
      <c r="RS38" s="1">
        <v>2022</v>
      </c>
      <c r="RT38" s="1" t="s">
        <v>55</v>
      </c>
      <c r="RU38" s="1">
        <v>371993.01977559121</v>
      </c>
      <c r="RV38" s="1">
        <v>57754399.13688051</v>
      </c>
      <c r="RW38" s="1">
        <v>6.4409469293230997E-3</v>
      </c>
      <c r="RX38" s="1"/>
      <c r="RY38" s="22">
        <v>10287</v>
      </c>
      <c r="RZ38" s="1" t="s">
        <v>44</v>
      </c>
      <c r="SA38" s="1">
        <v>2022</v>
      </c>
      <c r="SB38" s="1" t="s">
        <v>55</v>
      </c>
      <c r="SC38" s="1">
        <v>73994.217615081216</v>
      </c>
      <c r="SD38" s="1">
        <v>6876787.7563667288</v>
      </c>
      <c r="SE38" s="1">
        <v>1.0759997288934099E-2</v>
      </c>
      <c r="SF38" s="1"/>
      <c r="SG38" s="22">
        <v>11207</v>
      </c>
      <c r="SH38" s="1" t="s">
        <v>38</v>
      </c>
      <c r="SI38" s="1">
        <v>2022</v>
      </c>
      <c r="SJ38" s="1" t="s">
        <v>55</v>
      </c>
      <c r="SK38" s="1">
        <v>80085.065519103431</v>
      </c>
      <c r="SL38" s="1">
        <v>6325875.5612572851</v>
      </c>
      <c r="SM38" s="1">
        <v>1.2659917942360901E-2</v>
      </c>
      <c r="SN38" s="1"/>
      <c r="SO38" s="22">
        <v>12127</v>
      </c>
      <c r="SP38" s="1" t="s">
        <v>31</v>
      </c>
      <c r="SQ38" s="1">
        <v>2022</v>
      </c>
      <c r="SR38" s="1" t="s">
        <v>55</v>
      </c>
      <c r="SS38" s="1">
        <v>174483.19585598461</v>
      </c>
      <c r="ST38" s="1">
        <v>9782189.227885304</v>
      </c>
      <c r="SU38" s="1">
        <v>1.78368248447494E-2</v>
      </c>
      <c r="SV38" s="1"/>
      <c r="SW38" s="22">
        <v>13047</v>
      </c>
      <c r="SX38" s="1" t="s">
        <v>51</v>
      </c>
      <c r="SY38" s="1">
        <v>2022</v>
      </c>
      <c r="SZ38" s="1" t="s">
        <v>55</v>
      </c>
      <c r="TA38" s="1">
        <v>84925.126617841175</v>
      </c>
      <c r="TB38" s="1">
        <v>4800579.963537232</v>
      </c>
      <c r="TC38" s="1">
        <v>1.7690597232603002E-2</v>
      </c>
      <c r="TD38" s="1"/>
      <c r="TE38" s="22">
        <v>13967</v>
      </c>
      <c r="TF38" s="1" t="s">
        <v>57</v>
      </c>
      <c r="TG38" s="1">
        <v>2022</v>
      </c>
      <c r="TH38" s="1" t="s">
        <v>55</v>
      </c>
      <c r="TI38" s="1">
        <v>73098.405451447325</v>
      </c>
      <c r="TJ38" s="1">
        <v>9346455.8140041605</v>
      </c>
      <c r="TK38" s="1">
        <v>7.8209758764302001E-3</v>
      </c>
      <c r="TL38" s="1"/>
      <c r="TM38" s="22">
        <v>8493</v>
      </c>
      <c r="TN38" s="1" t="s">
        <v>17</v>
      </c>
      <c r="TO38" s="1">
        <v>2023</v>
      </c>
      <c r="TP38" s="1" t="s">
        <v>55</v>
      </c>
      <c r="TQ38" s="1">
        <v>43356.799340452242</v>
      </c>
      <c r="TR38" s="1">
        <v>4968081.7329930915</v>
      </c>
      <c r="TS38" s="1">
        <v>8.7270704611237E-3</v>
      </c>
      <c r="TT38" s="1"/>
      <c r="TU38" s="22">
        <v>9413</v>
      </c>
      <c r="TV38" s="1" t="s">
        <v>61</v>
      </c>
      <c r="TW38" s="1">
        <v>2023</v>
      </c>
      <c r="TX38" s="1" t="s">
        <v>55</v>
      </c>
      <c r="TY38" s="1">
        <v>396506.57722732163</v>
      </c>
      <c r="TZ38" s="1">
        <v>61560292.543660469</v>
      </c>
      <c r="UA38" s="1">
        <v>6.4409469293230997E-3</v>
      </c>
      <c r="UB38" s="1"/>
      <c r="UC38" s="22">
        <v>10333</v>
      </c>
      <c r="UD38" s="1" t="s">
        <v>44</v>
      </c>
      <c r="UE38" s="1">
        <v>2023</v>
      </c>
      <c r="UF38" s="1" t="s">
        <v>55</v>
      </c>
      <c r="UG38" s="1">
        <v>80072.880943198412</v>
      </c>
      <c r="UH38" s="1">
        <v>7441719.4347760417</v>
      </c>
      <c r="UI38" s="1">
        <v>1.0759997288934099E-2</v>
      </c>
      <c r="UJ38" s="1"/>
      <c r="UK38" s="22">
        <v>11253</v>
      </c>
      <c r="UL38" s="1" t="s">
        <v>38</v>
      </c>
      <c r="UM38" s="1">
        <v>2023</v>
      </c>
      <c r="UN38" s="1" t="s">
        <v>55</v>
      </c>
      <c r="UO38" s="1">
        <v>87403.356400659948</v>
      </c>
      <c r="UP38" s="1">
        <v>6903943.3587640161</v>
      </c>
      <c r="UQ38" s="1">
        <v>1.2659917942360901E-2</v>
      </c>
      <c r="UR38" s="1"/>
      <c r="US38" s="22">
        <v>12173</v>
      </c>
      <c r="UT38" s="1" t="s">
        <v>31</v>
      </c>
      <c r="UU38" s="1">
        <v>2023</v>
      </c>
      <c r="UV38" s="1" t="s">
        <v>55</v>
      </c>
      <c r="UW38" s="1">
        <v>189657.65190830751</v>
      </c>
      <c r="UX38" s="1">
        <v>10632926.743356841</v>
      </c>
      <c r="UY38" s="1">
        <v>1.78368248447494E-2</v>
      </c>
      <c r="UZ38" s="1"/>
      <c r="VA38" s="22">
        <v>13093</v>
      </c>
      <c r="VB38" s="1" t="s">
        <v>51</v>
      </c>
      <c r="VC38" s="1">
        <v>2023</v>
      </c>
      <c r="VD38" s="1" t="s">
        <v>55</v>
      </c>
      <c r="VE38" s="1">
        <v>93019.384362090117</v>
      </c>
      <c r="VF38" s="1">
        <v>5258125.7228930313</v>
      </c>
      <c r="VG38" s="1">
        <v>1.7690597232603002E-2</v>
      </c>
      <c r="VH38" s="1"/>
      <c r="VI38" s="22">
        <v>14013</v>
      </c>
      <c r="VJ38" s="1" t="s">
        <v>57</v>
      </c>
      <c r="VK38" s="1">
        <v>2023</v>
      </c>
      <c r="VL38" s="1" t="s">
        <v>55</v>
      </c>
      <c r="VM38" s="1">
        <v>72253.11413969264</v>
      </c>
      <c r="VN38" s="1">
        <v>9238375.7834414635</v>
      </c>
      <c r="VO38" s="1">
        <v>7.8209758764302001E-3</v>
      </c>
      <c r="VP38" s="1"/>
      <c r="VQ38" s="22">
        <v>8539</v>
      </c>
      <c r="VR38" s="1" t="s">
        <v>17</v>
      </c>
      <c r="VS38" s="1">
        <v>2024</v>
      </c>
      <c r="VT38" s="1" t="s">
        <v>55</v>
      </c>
      <c r="VU38" s="1">
        <v>44711.562167810182</v>
      </c>
      <c r="VV38" s="1">
        <v>5123318.5714479852</v>
      </c>
      <c r="VW38" s="1">
        <v>8.7270704611237E-3</v>
      </c>
      <c r="VX38" s="1"/>
      <c r="VY38" s="22">
        <v>9459</v>
      </c>
      <c r="VZ38" s="1" t="s">
        <v>61</v>
      </c>
      <c r="WA38" s="1">
        <v>2024</v>
      </c>
      <c r="WB38" s="1" t="s">
        <v>55</v>
      </c>
      <c r="WC38" s="1">
        <v>417449.94916151679</v>
      </c>
      <c r="WD38" s="1">
        <v>64811890.820126347</v>
      </c>
      <c r="WE38" s="1">
        <v>6.4409469293230997E-3</v>
      </c>
      <c r="WF38" s="1"/>
      <c r="WG38" s="22">
        <v>10379</v>
      </c>
      <c r="WH38" s="1" t="s">
        <v>44</v>
      </c>
      <c r="WI38" s="1">
        <v>2024</v>
      </c>
      <c r="WJ38" s="1" t="s">
        <v>55</v>
      </c>
      <c r="WK38" s="1">
        <v>86582.815240768061</v>
      </c>
      <c r="WL38" s="1">
        <v>8046732.0684004631</v>
      </c>
      <c r="WM38" s="1">
        <v>1.0759997288934099E-2</v>
      </c>
      <c r="WN38" s="1"/>
      <c r="WO38" s="22">
        <v>11299</v>
      </c>
      <c r="WP38" s="1" t="s">
        <v>38</v>
      </c>
      <c r="WQ38" s="1">
        <v>2024</v>
      </c>
      <c r="WR38" s="1" t="s">
        <v>55</v>
      </c>
      <c r="WS38" s="1">
        <v>90560.8782951209</v>
      </c>
      <c r="WT38" s="1">
        <v>7153354.2877160665</v>
      </c>
      <c r="WU38" s="1">
        <v>1.2659917942360901E-2</v>
      </c>
      <c r="WV38" s="1"/>
      <c r="WW38" s="22">
        <v>12219</v>
      </c>
      <c r="WX38" s="1" t="s">
        <v>31</v>
      </c>
      <c r="WY38" s="1">
        <v>2024</v>
      </c>
      <c r="WZ38" s="1" t="s">
        <v>55</v>
      </c>
      <c r="XA38" s="1">
        <v>195282.80307070279</v>
      </c>
      <c r="XB38" s="1">
        <v>10948294.03609846</v>
      </c>
      <c r="XC38" s="1">
        <v>1.78368248447494E-2</v>
      </c>
      <c r="XD38" s="1"/>
      <c r="XE38" s="22">
        <v>13139</v>
      </c>
      <c r="XF38" s="1" t="s">
        <v>51</v>
      </c>
      <c r="XG38" s="1">
        <v>2024</v>
      </c>
      <c r="XH38" s="1" t="s">
        <v>55</v>
      </c>
      <c r="XI38" s="1">
        <v>95770.479444607365</v>
      </c>
      <c r="XJ38" s="1">
        <v>5413637.436055948</v>
      </c>
      <c r="XK38" s="1">
        <v>1.7690597232603002E-2</v>
      </c>
      <c r="XL38" s="1"/>
      <c r="XM38" s="22">
        <v>14059</v>
      </c>
      <c r="XN38" s="1" t="s">
        <v>57</v>
      </c>
      <c r="XO38" s="1">
        <v>2024</v>
      </c>
      <c r="XP38" s="1" t="s">
        <v>55</v>
      </c>
      <c r="XQ38" s="1">
        <v>69046.872231685862</v>
      </c>
      <c r="XR38" s="1">
        <v>8828421.583522588</v>
      </c>
      <c r="XS38" s="1">
        <v>7.8209758764302001E-3</v>
      </c>
      <c r="XT38" s="1"/>
    </row>
    <row r="39" spans="1:644" x14ac:dyDescent="0.25">
      <c r="A39" s="2">
        <v>30</v>
      </c>
      <c r="B39" s="1" t="s">
        <v>17</v>
      </c>
      <c r="C39" s="1" t="s">
        <v>56</v>
      </c>
      <c r="D39" s="1">
        <v>3.1680814485419988E-3</v>
      </c>
      <c r="E39" s="1">
        <v>3.1087156269617752E-3</v>
      </c>
      <c r="F39" s="1">
        <v>3.0935145652821049E-3</v>
      </c>
      <c r="G39" s="1">
        <v>3.0650835254280849E-3</v>
      </c>
      <c r="H39" s="1">
        <v>3.2109551506193869E-3</v>
      </c>
      <c r="I39" s="1">
        <v>3.2186711190576351E-3</v>
      </c>
      <c r="J39" s="1">
        <v>3.7151704749608049E-3</v>
      </c>
      <c r="K39" s="1">
        <v>3.7151704749608079E-3</v>
      </c>
      <c r="L39" s="1">
        <v>3.7151704749608079E-3</v>
      </c>
      <c r="M39" s="1">
        <v>3.7151704749608079E-3</v>
      </c>
      <c r="N39" s="1">
        <v>3.7151704749608079E-3</v>
      </c>
      <c r="O39" s="1">
        <v>3.4037158009722749E-3</v>
      </c>
      <c r="P39" s="1"/>
      <c r="Q39" s="2">
        <v>246</v>
      </c>
      <c r="R39" s="1" t="s">
        <v>57</v>
      </c>
      <c r="S39" s="16" t="s">
        <v>19</v>
      </c>
      <c r="T39" s="16">
        <v>1.580121462557418E-2</v>
      </c>
      <c r="U39" s="1"/>
      <c r="AC39" s="22">
        <v>904</v>
      </c>
      <c r="AD39" s="1" t="s">
        <v>17</v>
      </c>
      <c r="AE39" s="1">
        <v>2014</v>
      </c>
      <c r="AF39" s="1" t="s">
        <v>56</v>
      </c>
      <c r="AG39" s="1">
        <v>12951.8</v>
      </c>
      <c r="AH39" s="1">
        <v>4088215.6</v>
      </c>
      <c r="AI39" s="1">
        <v>3.1680814485418999E-3</v>
      </c>
      <c r="AJ39" s="1"/>
      <c r="AK39" s="22">
        <v>2100</v>
      </c>
      <c r="AL39" s="1" t="s">
        <v>61</v>
      </c>
      <c r="AM39" s="1">
        <v>2014</v>
      </c>
      <c r="AN39" s="1" t="s">
        <v>56</v>
      </c>
      <c r="AO39" s="1">
        <v>141275.4</v>
      </c>
      <c r="AP39" s="1">
        <v>40350049.200000003</v>
      </c>
      <c r="AQ39" s="1">
        <v>3.5012448014561E-3</v>
      </c>
      <c r="AR39" s="1"/>
      <c r="AS39" s="22">
        <v>3296</v>
      </c>
      <c r="AT39" s="1" t="s">
        <v>44</v>
      </c>
      <c r="AU39" s="1">
        <v>2014</v>
      </c>
      <c r="AV39" s="1" t="s">
        <v>56</v>
      </c>
      <c r="AW39" s="1">
        <v>29975.5</v>
      </c>
      <c r="AX39" s="1">
        <v>6735816.8000000007</v>
      </c>
      <c r="AY39" s="1">
        <v>4.4501655686360001E-3</v>
      </c>
      <c r="AZ39" s="1"/>
      <c r="BA39" s="22">
        <v>4492</v>
      </c>
      <c r="BB39" s="1" t="s">
        <v>38</v>
      </c>
      <c r="BC39" s="1">
        <v>2014</v>
      </c>
      <c r="BD39" s="1" t="s">
        <v>56</v>
      </c>
      <c r="BE39" s="1">
        <v>16409</v>
      </c>
      <c r="BF39" s="1">
        <v>6538596.7000000002</v>
      </c>
      <c r="BG39" s="1">
        <v>2.5095598876743001E-3</v>
      </c>
      <c r="BH39" s="1"/>
      <c r="BI39" s="22">
        <v>5688</v>
      </c>
      <c r="BJ39" s="1" t="s">
        <v>31</v>
      </c>
      <c r="BK39" s="1">
        <v>2014</v>
      </c>
      <c r="BL39" s="1" t="s">
        <v>56</v>
      </c>
      <c r="BM39" s="1">
        <v>47135.3</v>
      </c>
      <c r="BN39" s="1">
        <v>9155477.5</v>
      </c>
      <c r="BO39" s="1">
        <v>5.1483169501535999E-3</v>
      </c>
      <c r="BP39" s="1"/>
      <c r="BQ39" s="22">
        <v>6884</v>
      </c>
      <c r="BR39" s="1" t="s">
        <v>51</v>
      </c>
      <c r="BS39" s="1">
        <v>2014</v>
      </c>
      <c r="BT39" s="1" t="s">
        <v>56</v>
      </c>
      <c r="BU39" s="1">
        <v>8648.6</v>
      </c>
      <c r="BV39" s="1">
        <v>4981875.5</v>
      </c>
      <c r="BW39" s="1">
        <v>1.7360128730635001E-3</v>
      </c>
      <c r="BX39" s="1"/>
      <c r="BY39" s="22">
        <v>8080</v>
      </c>
      <c r="BZ39" s="1" t="s">
        <v>57</v>
      </c>
      <c r="CA39" s="1">
        <v>2014</v>
      </c>
      <c r="CB39" s="1" t="s">
        <v>56</v>
      </c>
      <c r="CC39" s="1">
        <v>12747.9</v>
      </c>
      <c r="CD39" s="1">
        <v>11026913.800000001</v>
      </c>
      <c r="CE39" s="1">
        <v>1.1560714295235999E-3</v>
      </c>
      <c r="CF39" s="1"/>
      <c r="CG39" s="22">
        <v>950</v>
      </c>
      <c r="CH39" s="1" t="s">
        <v>17</v>
      </c>
      <c r="CI39" s="1">
        <v>2015</v>
      </c>
      <c r="CJ39" s="1" t="s">
        <v>56</v>
      </c>
      <c r="CK39" s="1">
        <v>11051.9</v>
      </c>
      <c r="CL39" s="1">
        <v>3555133.8</v>
      </c>
      <c r="CM39" s="1">
        <v>3.1087156269617002E-3</v>
      </c>
      <c r="CN39" s="1"/>
      <c r="CO39" s="22">
        <v>2146</v>
      </c>
      <c r="CP39" s="1" t="s">
        <v>61</v>
      </c>
      <c r="CQ39" s="1">
        <v>2015</v>
      </c>
      <c r="CR39" s="1" t="s">
        <v>56</v>
      </c>
      <c r="CS39" s="1">
        <v>142918.6</v>
      </c>
      <c r="CT39" s="1">
        <v>41208556.399999999</v>
      </c>
      <c r="CU39" s="1">
        <v>3.4681777884361001E-3</v>
      </c>
      <c r="CV39" s="1"/>
      <c r="CW39" s="22">
        <v>3342</v>
      </c>
      <c r="CX39" s="1" t="s">
        <v>44</v>
      </c>
      <c r="CY39" s="1">
        <v>2015</v>
      </c>
      <c r="CZ39" s="1" t="s">
        <v>56</v>
      </c>
      <c r="DA39" s="1">
        <v>28198.799999999999</v>
      </c>
      <c r="DB39" s="1">
        <v>6404349.4000000004</v>
      </c>
      <c r="DC39" s="1">
        <v>4.4030702010105002E-3</v>
      </c>
      <c r="DD39" s="1"/>
      <c r="DE39" s="22">
        <v>4538</v>
      </c>
      <c r="DF39" s="1" t="s">
        <v>38</v>
      </c>
      <c r="DG39" s="1">
        <v>2015</v>
      </c>
      <c r="DH39" s="1" t="s">
        <v>56</v>
      </c>
      <c r="DI39" s="1">
        <v>13852.2</v>
      </c>
      <c r="DJ39" s="1">
        <v>5531517.5999999996</v>
      </c>
      <c r="DK39" s="1">
        <v>2.5042313885071002E-3</v>
      </c>
      <c r="DL39" s="1"/>
      <c r="DM39" s="22">
        <v>5734</v>
      </c>
      <c r="DN39" s="1" t="s">
        <v>31</v>
      </c>
      <c r="DO39" s="1">
        <v>2015</v>
      </c>
      <c r="DP39" s="1" t="s">
        <v>56</v>
      </c>
      <c r="DQ39" s="1">
        <v>44818.7</v>
      </c>
      <c r="DR39" s="1">
        <v>7894528</v>
      </c>
      <c r="DS39" s="1">
        <v>5.6771855138141002E-3</v>
      </c>
      <c r="DT39" s="1"/>
      <c r="DU39" s="22">
        <v>6930</v>
      </c>
      <c r="DV39" s="1" t="s">
        <v>51</v>
      </c>
      <c r="DW39" s="1">
        <v>2015</v>
      </c>
      <c r="DX39" s="1" t="s">
        <v>56</v>
      </c>
      <c r="DY39" s="1">
        <v>7526.5</v>
      </c>
      <c r="DZ39" s="1">
        <v>4209274.5999999996</v>
      </c>
      <c r="EA39" s="1">
        <v>1.7880753134993E-3</v>
      </c>
      <c r="EB39" s="1"/>
      <c r="EC39" s="22">
        <v>8126</v>
      </c>
      <c r="ED39" s="1" t="s">
        <v>57</v>
      </c>
      <c r="EE39" s="1">
        <v>2015</v>
      </c>
      <c r="EF39" s="1" t="s">
        <v>56</v>
      </c>
      <c r="EG39" s="1">
        <v>11286.3</v>
      </c>
      <c r="EH39" s="1">
        <v>9729477.0999999996</v>
      </c>
      <c r="EI39" s="1">
        <v>1.1600109526953999E-3</v>
      </c>
      <c r="EJ39" s="1"/>
      <c r="EK39" s="22">
        <v>996</v>
      </c>
      <c r="EL39" s="1" t="s">
        <v>17</v>
      </c>
      <c r="EM39" s="1">
        <v>2016</v>
      </c>
      <c r="EN39" s="1" t="s">
        <v>56</v>
      </c>
      <c r="EO39" s="1">
        <v>10714.1</v>
      </c>
      <c r="EP39" s="1">
        <v>3463407</v>
      </c>
      <c r="EQ39" s="1">
        <v>3.0935145652821001E-3</v>
      </c>
      <c r="ER39" s="1"/>
      <c r="ES39" s="22">
        <v>2192</v>
      </c>
      <c r="ET39" s="1" t="s">
        <v>61</v>
      </c>
      <c r="EU39" s="1">
        <v>2016</v>
      </c>
      <c r="EV39" s="1" t="s">
        <v>56</v>
      </c>
      <c r="EW39" s="1">
        <v>145884.6</v>
      </c>
      <c r="EX39" s="1">
        <v>42141395.200000003</v>
      </c>
      <c r="EY39" s="1">
        <v>3.4617885646083001E-3</v>
      </c>
      <c r="EZ39" s="1"/>
      <c r="FA39" s="22">
        <v>3388</v>
      </c>
      <c r="FB39" s="1" t="s">
        <v>44</v>
      </c>
      <c r="FC39" s="1">
        <v>2016</v>
      </c>
      <c r="FD39" s="1" t="s">
        <v>56</v>
      </c>
      <c r="FE39" s="1">
        <v>26025.5</v>
      </c>
      <c r="FF39" s="1">
        <v>5868597.7999999998</v>
      </c>
      <c r="FG39" s="1">
        <v>4.4347049988669998E-3</v>
      </c>
      <c r="FH39" s="1"/>
      <c r="FI39" s="22">
        <v>4584</v>
      </c>
      <c r="FJ39" s="1" t="s">
        <v>38</v>
      </c>
      <c r="FK39" s="1">
        <v>2016</v>
      </c>
      <c r="FL39" s="1" t="s">
        <v>56</v>
      </c>
      <c r="FM39" s="1">
        <v>13914.2</v>
      </c>
      <c r="FN39" s="1">
        <v>5582986.5</v>
      </c>
      <c r="FO39" s="1">
        <v>2.4922503394912E-3</v>
      </c>
      <c r="FP39" s="1"/>
      <c r="FQ39" s="22">
        <v>5780</v>
      </c>
      <c r="FR39" s="1" t="s">
        <v>31</v>
      </c>
      <c r="FS39" s="1">
        <v>2016</v>
      </c>
      <c r="FT39" s="1" t="s">
        <v>56</v>
      </c>
      <c r="FU39" s="1">
        <v>44443.8</v>
      </c>
      <c r="FV39" s="1">
        <v>8130820.9000000004</v>
      </c>
      <c r="FW39" s="1">
        <v>5.4660901459531001E-3</v>
      </c>
      <c r="FX39" s="1"/>
      <c r="FY39" s="22">
        <v>6976</v>
      </c>
      <c r="FZ39" s="1" t="s">
        <v>51</v>
      </c>
      <c r="GA39" s="1">
        <v>2016</v>
      </c>
      <c r="GB39" s="1" t="s">
        <v>56</v>
      </c>
      <c r="GC39" s="1">
        <v>7594.2</v>
      </c>
      <c r="GD39" s="1">
        <v>4230502.5999999996</v>
      </c>
      <c r="GE39" s="1">
        <v>1.7951058581077001E-3</v>
      </c>
      <c r="GF39" s="1"/>
      <c r="GG39" s="22">
        <v>8172</v>
      </c>
      <c r="GH39" s="1" t="s">
        <v>57</v>
      </c>
      <c r="GI39" s="1">
        <v>2016</v>
      </c>
      <c r="GJ39" s="1" t="s">
        <v>56</v>
      </c>
      <c r="GK39" s="1">
        <v>12697.9</v>
      </c>
      <c r="GL39" s="1">
        <v>10773649.5</v>
      </c>
      <c r="GM39" s="1">
        <v>1.1786071191567001E-3</v>
      </c>
      <c r="GN39" s="1"/>
      <c r="GO39" s="22">
        <v>1042</v>
      </c>
      <c r="GP39" s="1" t="s">
        <v>17</v>
      </c>
      <c r="GQ39" s="1">
        <v>2017</v>
      </c>
      <c r="GR39" s="1" t="s">
        <v>56</v>
      </c>
      <c r="GS39" s="1">
        <v>11401.3</v>
      </c>
      <c r="GT39" s="1">
        <v>3719735.5</v>
      </c>
      <c r="GU39" s="1">
        <v>3.0650835254279999E-3</v>
      </c>
      <c r="GV39" s="1"/>
      <c r="GW39" s="22">
        <v>2238</v>
      </c>
      <c r="GX39" s="1" t="s">
        <v>61</v>
      </c>
      <c r="GY39" s="1">
        <v>2017</v>
      </c>
      <c r="GZ39" s="1" t="s">
        <v>56</v>
      </c>
      <c r="HA39" s="1">
        <v>149124.70000000001</v>
      </c>
      <c r="HB39" s="1">
        <v>44107004.100000001</v>
      </c>
      <c r="HC39" s="1">
        <v>3.3809754945472999E-3</v>
      </c>
      <c r="HD39" s="1"/>
      <c r="HE39" s="22">
        <v>3434</v>
      </c>
      <c r="HF39" s="1" t="s">
        <v>44</v>
      </c>
      <c r="HG39" s="1">
        <v>2017</v>
      </c>
      <c r="HH39" s="1" t="s">
        <v>56</v>
      </c>
      <c r="HI39" s="1">
        <v>25703.4</v>
      </c>
      <c r="HJ39" s="1">
        <v>5855367.5</v>
      </c>
      <c r="HK39" s="1">
        <v>4.3897159315790003E-3</v>
      </c>
      <c r="HL39" s="1"/>
      <c r="HM39" s="22">
        <v>4630</v>
      </c>
      <c r="HN39" s="1" t="s">
        <v>38</v>
      </c>
      <c r="HO39" s="1">
        <v>2017</v>
      </c>
      <c r="HP39" s="1" t="s">
        <v>56</v>
      </c>
      <c r="HQ39" s="1">
        <v>14295.4</v>
      </c>
      <c r="HR39" s="1">
        <v>5923445.7000000002</v>
      </c>
      <c r="HS39" s="1">
        <v>2.4133588326807E-3</v>
      </c>
      <c r="HT39" s="1"/>
      <c r="HU39" s="22">
        <v>5826</v>
      </c>
      <c r="HV39" s="1" t="s">
        <v>31</v>
      </c>
      <c r="HW39" s="1">
        <v>2017</v>
      </c>
      <c r="HX39" s="1" t="s">
        <v>56</v>
      </c>
      <c r="HY39" s="1">
        <v>46952.800000000003</v>
      </c>
      <c r="HZ39" s="1">
        <v>8686095.3000000007</v>
      </c>
      <c r="IA39" s="1">
        <v>5.4055128775756999E-3</v>
      </c>
      <c r="IB39" s="1"/>
      <c r="IC39" s="22">
        <v>7022</v>
      </c>
      <c r="ID39" s="1" t="s">
        <v>51</v>
      </c>
      <c r="IE39" s="1">
        <v>2017</v>
      </c>
      <c r="IF39" s="1" t="s">
        <v>56</v>
      </c>
      <c r="IG39" s="1">
        <v>8031.9</v>
      </c>
      <c r="IH39" s="1">
        <v>4472691.8</v>
      </c>
      <c r="II39" s="1">
        <v>1.7957642420164E-3</v>
      </c>
      <c r="IJ39" s="1"/>
      <c r="IK39" s="22">
        <v>8218</v>
      </c>
      <c r="IL39" s="1" t="s">
        <v>57</v>
      </c>
      <c r="IM39" s="1">
        <v>2017</v>
      </c>
      <c r="IN39" s="1" t="s">
        <v>56</v>
      </c>
      <c r="IO39" s="1">
        <v>12795.1</v>
      </c>
      <c r="IP39" s="1">
        <v>10750260.5</v>
      </c>
      <c r="IQ39" s="1">
        <v>1.1902130185588999E-3</v>
      </c>
      <c r="IR39" s="1"/>
      <c r="IS39" s="22">
        <v>1088</v>
      </c>
      <c r="IT39" s="1" t="s">
        <v>17</v>
      </c>
      <c r="IU39" s="1">
        <v>2018</v>
      </c>
      <c r="IV39" s="1" t="s">
        <v>56</v>
      </c>
      <c r="IW39" s="1">
        <v>12536.1</v>
      </c>
      <c r="IX39" s="1">
        <v>3904165.4</v>
      </c>
      <c r="IY39" s="1">
        <v>3.2109551506193002E-3</v>
      </c>
      <c r="IZ39" s="1"/>
      <c r="JA39" s="22">
        <v>2284</v>
      </c>
      <c r="JB39" s="1" t="s">
        <v>61</v>
      </c>
      <c r="JC39" s="1">
        <v>2018</v>
      </c>
      <c r="JD39" s="1" t="s">
        <v>56</v>
      </c>
      <c r="JE39" s="1">
        <v>157190.6</v>
      </c>
      <c r="JF39" s="1">
        <v>46669099.200000003</v>
      </c>
      <c r="JG39" s="1">
        <v>3.3681944304594E-3</v>
      </c>
      <c r="JH39" s="1"/>
      <c r="JI39" s="22">
        <v>3480</v>
      </c>
      <c r="JJ39" s="1" t="s">
        <v>44</v>
      </c>
      <c r="JK39" s="1">
        <v>2018</v>
      </c>
      <c r="JL39" s="1" t="s">
        <v>56</v>
      </c>
      <c r="JM39" s="1">
        <v>27832</v>
      </c>
      <c r="JN39" s="1">
        <v>6336724.7000000002</v>
      </c>
      <c r="JO39" s="1">
        <v>4.3921743988656996E-3</v>
      </c>
      <c r="JP39" s="1"/>
      <c r="JQ39" s="22">
        <v>4676</v>
      </c>
      <c r="JR39" s="1" t="s">
        <v>38</v>
      </c>
      <c r="JS39" s="1">
        <v>2018</v>
      </c>
      <c r="JT39" s="1" t="s">
        <v>56</v>
      </c>
      <c r="JU39" s="1">
        <v>14593.9</v>
      </c>
      <c r="JV39" s="1">
        <v>6390706</v>
      </c>
      <c r="JW39" s="1">
        <v>2.2836131094122998E-3</v>
      </c>
      <c r="JX39" s="1"/>
      <c r="JY39" s="22">
        <v>5872</v>
      </c>
      <c r="JZ39" s="1" t="s">
        <v>31</v>
      </c>
      <c r="KA39" s="1">
        <v>2018</v>
      </c>
      <c r="KB39" s="1" t="s">
        <v>56</v>
      </c>
      <c r="KC39" s="1">
        <v>50732.3</v>
      </c>
      <c r="KD39" s="1">
        <v>9443218.3000000007</v>
      </c>
      <c r="KE39" s="1">
        <v>5.3723527708768003E-3</v>
      </c>
      <c r="KF39" s="1"/>
      <c r="KG39" s="22">
        <v>7068</v>
      </c>
      <c r="KH39" s="1" t="s">
        <v>51</v>
      </c>
      <c r="KI39" s="1">
        <v>2018</v>
      </c>
      <c r="KJ39" s="1" t="s">
        <v>56</v>
      </c>
      <c r="KK39" s="1">
        <v>8178.9</v>
      </c>
      <c r="KL39" s="1">
        <v>4803387.8</v>
      </c>
      <c r="KM39" s="1">
        <v>1.7027357233158999E-3</v>
      </c>
      <c r="KN39" s="1"/>
      <c r="KO39" s="22">
        <v>8264</v>
      </c>
      <c r="KP39" s="1" t="s">
        <v>57</v>
      </c>
      <c r="KQ39" s="1">
        <v>2018</v>
      </c>
      <c r="KR39" s="1" t="s">
        <v>56</v>
      </c>
      <c r="KS39" s="1">
        <v>13621.2</v>
      </c>
      <c r="KT39" s="1">
        <v>11172914.4</v>
      </c>
      <c r="KU39" s="1">
        <v>1.2191268555677001E-3</v>
      </c>
      <c r="KV39" s="1"/>
      <c r="KW39" s="22">
        <v>1134</v>
      </c>
      <c r="KX39" s="1" t="s">
        <v>17</v>
      </c>
      <c r="KY39" s="1">
        <v>2019</v>
      </c>
      <c r="KZ39" s="1" t="s">
        <v>56</v>
      </c>
      <c r="LA39" s="1">
        <v>12730.9</v>
      </c>
      <c r="LB39" s="1">
        <v>3955328</v>
      </c>
      <c r="LC39" s="1">
        <v>3.2186711190575999E-3</v>
      </c>
      <c r="LD39" s="1"/>
      <c r="LE39" s="22">
        <v>2330</v>
      </c>
      <c r="LF39" s="1" t="s">
        <v>61</v>
      </c>
      <c r="LG39" s="1">
        <v>2019</v>
      </c>
      <c r="LH39" s="1" t="s">
        <v>56</v>
      </c>
      <c r="LI39" s="1">
        <v>158924</v>
      </c>
      <c r="LJ39" s="1">
        <v>48356774.5</v>
      </c>
      <c r="LK39" s="1">
        <v>3.2864888455287002E-3</v>
      </c>
      <c r="LL39" s="1"/>
      <c r="LM39" s="22">
        <v>3526</v>
      </c>
      <c r="LN39" s="1" t="s">
        <v>44</v>
      </c>
      <c r="LO39" s="1">
        <v>2019</v>
      </c>
      <c r="LP39" s="1" t="s">
        <v>56</v>
      </c>
      <c r="LQ39" s="1">
        <v>26839.1</v>
      </c>
      <c r="LR39" s="1">
        <v>6269787.0999999996</v>
      </c>
      <c r="LS39" s="1">
        <v>4.2807035664735003E-3</v>
      </c>
      <c r="LT39" s="1"/>
      <c r="LU39" s="22">
        <v>4722</v>
      </c>
      <c r="LV39" s="1" t="s">
        <v>38</v>
      </c>
      <c r="LW39" s="1">
        <v>2019</v>
      </c>
      <c r="LX39" s="1" t="s">
        <v>56</v>
      </c>
      <c r="LY39" s="1">
        <v>13731.2</v>
      </c>
      <c r="LZ39" s="1">
        <v>6182094.5</v>
      </c>
      <c r="MA39" s="1">
        <v>2.2211242484242001E-3</v>
      </c>
      <c r="MB39" s="1"/>
      <c r="MC39" s="22">
        <v>5918</v>
      </c>
      <c r="MD39" s="1" t="s">
        <v>31</v>
      </c>
      <c r="ME39" s="1">
        <v>2019</v>
      </c>
      <c r="MF39" s="1" t="s">
        <v>56</v>
      </c>
      <c r="MG39" s="1">
        <v>52826.9</v>
      </c>
      <c r="MH39" s="1">
        <v>9237079</v>
      </c>
      <c r="MI39" s="1">
        <v>5.7190048932135003E-3</v>
      </c>
      <c r="MJ39" s="1"/>
      <c r="MK39" s="22">
        <v>7114</v>
      </c>
      <c r="ML39" s="1" t="s">
        <v>51</v>
      </c>
      <c r="MM39" s="1">
        <v>2019</v>
      </c>
      <c r="MN39" s="1" t="s">
        <v>56</v>
      </c>
      <c r="MO39" s="1">
        <v>7986.4</v>
      </c>
      <c r="MP39" s="1">
        <v>4608662</v>
      </c>
      <c r="MQ39" s="1">
        <v>1.7329107667256999E-3</v>
      </c>
      <c r="MR39" s="1"/>
      <c r="MS39" s="22">
        <v>8310</v>
      </c>
      <c r="MT39" s="1" t="s">
        <v>57</v>
      </c>
      <c r="MU39" s="1">
        <v>2019</v>
      </c>
      <c r="MV39" s="1" t="s">
        <v>56</v>
      </c>
      <c r="MW39" s="1">
        <v>13956.9</v>
      </c>
      <c r="MX39" s="1">
        <v>11338077</v>
      </c>
      <c r="MY39" s="1">
        <v>1.2309759406290001E-3</v>
      </c>
      <c r="MZ39" s="1"/>
      <c r="NA39" s="22">
        <v>1180</v>
      </c>
      <c r="NB39" s="1" t="s">
        <v>17</v>
      </c>
      <c r="NC39" s="1">
        <v>2020</v>
      </c>
      <c r="ND39" s="1" t="s">
        <v>56</v>
      </c>
      <c r="NE39" s="1">
        <v>14061</v>
      </c>
      <c r="NF39" s="1">
        <v>3784752.3</v>
      </c>
      <c r="NG39" s="1">
        <v>3.7151704749608001E-3</v>
      </c>
      <c r="NH39" s="1"/>
      <c r="NI39" s="22">
        <v>2376</v>
      </c>
      <c r="NJ39" s="1" t="s">
        <v>61</v>
      </c>
      <c r="NK39" s="1">
        <v>2020</v>
      </c>
      <c r="NL39" s="1" t="s">
        <v>56</v>
      </c>
      <c r="NM39" s="1">
        <v>171508.9</v>
      </c>
      <c r="NN39" s="1">
        <v>47421769.399999999</v>
      </c>
      <c r="NO39" s="1">
        <v>3.6166701953554E-3</v>
      </c>
      <c r="NP39" s="1"/>
      <c r="NQ39" s="22">
        <v>3572</v>
      </c>
      <c r="NR39" s="1" t="s">
        <v>44</v>
      </c>
      <c r="NS39" s="1">
        <v>2020</v>
      </c>
      <c r="NT39" s="1" t="s">
        <v>56</v>
      </c>
      <c r="NU39" s="1">
        <v>30726.9</v>
      </c>
      <c r="NV39" s="1">
        <v>5955345.3666666672</v>
      </c>
      <c r="NW39" s="1">
        <v>5.1595496328364996E-3</v>
      </c>
      <c r="NX39" s="1"/>
      <c r="NY39" s="22">
        <v>4768</v>
      </c>
      <c r="NZ39" s="1" t="s">
        <v>38</v>
      </c>
      <c r="OA39" s="1">
        <v>2020</v>
      </c>
      <c r="OB39" s="1" t="s">
        <v>56</v>
      </c>
      <c r="OC39" s="1">
        <v>14119.6</v>
      </c>
      <c r="OD39" s="1">
        <v>5990228.4000000004</v>
      </c>
      <c r="OE39" s="1">
        <v>2.3571054486001999E-3</v>
      </c>
      <c r="OF39" s="1"/>
      <c r="OG39" s="22">
        <v>5964</v>
      </c>
      <c r="OH39" s="1" t="s">
        <v>31</v>
      </c>
      <c r="OI39" s="1">
        <v>2020</v>
      </c>
      <c r="OJ39" s="1" t="s">
        <v>56</v>
      </c>
      <c r="OK39" s="1">
        <v>61551.8</v>
      </c>
      <c r="OL39" s="1">
        <v>9257180.0999999996</v>
      </c>
      <c r="OM39" s="1">
        <v>6.6490874472670001E-3</v>
      </c>
      <c r="ON39" s="1"/>
      <c r="OO39" s="22">
        <v>7160</v>
      </c>
      <c r="OP39" s="1" t="s">
        <v>51</v>
      </c>
      <c r="OQ39" s="1">
        <v>2020</v>
      </c>
      <c r="OR39" s="1" t="s">
        <v>56</v>
      </c>
      <c r="OS39" s="1">
        <v>9251.7000000000007</v>
      </c>
      <c r="OT39" s="1">
        <v>4352046.4000000004</v>
      </c>
      <c r="OU39" s="1">
        <v>2.1258275187506998E-3</v>
      </c>
      <c r="OV39" s="1"/>
      <c r="OW39" s="22">
        <v>8356</v>
      </c>
      <c r="OX39" s="1" t="s">
        <v>57</v>
      </c>
      <c r="OY39" s="1">
        <v>2020</v>
      </c>
      <c r="OZ39" s="1" t="s">
        <v>56</v>
      </c>
      <c r="PA39" s="1">
        <v>11532.1</v>
      </c>
      <c r="PB39" s="1">
        <v>11082248.733333331</v>
      </c>
      <c r="PC39" s="1">
        <v>1.0405920564942001E-3</v>
      </c>
      <c r="PD39" s="1"/>
      <c r="PE39" s="22">
        <v>8402</v>
      </c>
      <c r="PF39" s="1" t="s">
        <v>17</v>
      </c>
      <c r="PG39" s="1">
        <v>2021</v>
      </c>
      <c r="PH39" s="1" t="s">
        <v>56</v>
      </c>
      <c r="PI39" s="1">
        <v>17175.23022564745</v>
      </c>
      <c r="PJ39" s="1">
        <v>4622999.2247741111</v>
      </c>
      <c r="PK39" s="1">
        <v>3.7151704749608001E-3</v>
      </c>
      <c r="PL39" s="1"/>
      <c r="PM39" s="22">
        <v>9322</v>
      </c>
      <c r="PN39" s="1" t="s">
        <v>61</v>
      </c>
      <c r="PO39" s="1">
        <v>2021</v>
      </c>
      <c r="PP39" s="1" t="s">
        <v>56</v>
      </c>
      <c r="PQ39" s="1">
        <v>190199.37916746299</v>
      </c>
      <c r="PR39" s="1">
        <v>52589638.782026872</v>
      </c>
      <c r="PS39" s="1">
        <v>3.6166701953554E-3</v>
      </c>
      <c r="PT39" s="1"/>
      <c r="PU39" s="22">
        <v>10242</v>
      </c>
      <c r="PV39" s="1" t="s">
        <v>44</v>
      </c>
      <c r="PW39" s="1">
        <v>2021</v>
      </c>
      <c r="PX39" s="1" t="s">
        <v>56</v>
      </c>
      <c r="PY39" s="1">
        <v>35814.741769072221</v>
      </c>
      <c r="PZ39" s="1">
        <v>6941447.2808129201</v>
      </c>
      <c r="QA39" s="1">
        <v>5.1595496328364996E-3</v>
      </c>
      <c r="QB39" s="1"/>
      <c r="QC39" s="22">
        <v>11162</v>
      </c>
      <c r="QD39" s="1" t="s">
        <v>38</v>
      </c>
      <c r="QE39" s="1">
        <v>2021</v>
      </c>
      <c r="QF39" s="1" t="s">
        <v>56</v>
      </c>
      <c r="QG39" s="1">
        <v>15817.94270543367</v>
      </c>
      <c r="QH39" s="1">
        <v>6710748.8614170318</v>
      </c>
      <c r="QI39" s="1">
        <v>2.3571054486001999E-3</v>
      </c>
      <c r="QJ39" s="1"/>
      <c r="QK39" s="22">
        <v>12082</v>
      </c>
      <c r="QL39" s="1" t="s">
        <v>31</v>
      </c>
      <c r="QM39" s="1">
        <v>2021</v>
      </c>
      <c r="QN39" s="1" t="s">
        <v>56</v>
      </c>
      <c r="QO39" s="1">
        <v>67927.964980939621</v>
      </c>
      <c r="QP39" s="1">
        <v>10216133.49495957</v>
      </c>
      <c r="QQ39" s="1">
        <v>6.6490874472670001E-3</v>
      </c>
      <c r="QR39" s="1"/>
      <c r="QS39" s="22">
        <v>13002</v>
      </c>
      <c r="QT39" s="1" t="s">
        <v>51</v>
      </c>
      <c r="QU39" s="1">
        <v>2021</v>
      </c>
      <c r="QV39" s="1" t="s">
        <v>56</v>
      </c>
      <c r="QW39" s="1">
        <v>10569.650615995881</v>
      </c>
      <c r="QX39" s="1">
        <v>4972017.0252605537</v>
      </c>
      <c r="QY39" s="1">
        <v>2.1258275187506998E-3</v>
      </c>
      <c r="QZ39" s="1"/>
      <c r="RA39" s="22">
        <v>13922</v>
      </c>
      <c r="RB39" s="1" t="s">
        <v>57</v>
      </c>
      <c r="RC39" s="1">
        <v>2021</v>
      </c>
      <c r="RD39" s="1" t="s">
        <v>56</v>
      </c>
      <c r="RE39" s="1">
        <v>11498.056361506249</v>
      </c>
      <c r="RF39" s="1">
        <v>11049533.09007922</v>
      </c>
      <c r="RG39" s="1">
        <v>1.0405920564942001E-3</v>
      </c>
      <c r="RH39" s="1"/>
      <c r="RI39" s="22">
        <v>8448</v>
      </c>
      <c r="RJ39" s="1" t="s">
        <v>17</v>
      </c>
      <c r="RK39" s="1">
        <v>2022</v>
      </c>
      <c r="RL39" s="1" t="s">
        <v>56</v>
      </c>
      <c r="RM39" s="1">
        <v>18602.238965258959</v>
      </c>
      <c r="RN39" s="1">
        <v>5007102.3902221443</v>
      </c>
      <c r="RO39" s="1">
        <v>3.7151704749608001E-3</v>
      </c>
      <c r="RP39" s="1"/>
      <c r="RQ39" s="22">
        <v>9368</v>
      </c>
      <c r="RR39" s="1" t="s">
        <v>61</v>
      </c>
      <c r="RS39" s="1">
        <v>2022</v>
      </c>
      <c r="RT39" s="1" t="s">
        <v>56</v>
      </c>
      <c r="RU39" s="1">
        <v>208878.61400901529</v>
      </c>
      <c r="RV39" s="1">
        <v>57754399.13688051</v>
      </c>
      <c r="RW39" s="1">
        <v>3.6166701953554E-3</v>
      </c>
      <c r="RX39" s="1"/>
      <c r="RY39" s="22">
        <v>10288</v>
      </c>
      <c r="RZ39" s="1" t="s">
        <v>44</v>
      </c>
      <c r="SA39" s="1">
        <v>2022</v>
      </c>
      <c r="SB39" s="1" t="s">
        <v>56</v>
      </c>
      <c r="SC39" s="1">
        <v>35481.127743456491</v>
      </c>
      <c r="SD39" s="1">
        <v>6876787.7563667288</v>
      </c>
      <c r="SE39" s="1">
        <v>5.1595496328364996E-3</v>
      </c>
      <c r="SF39" s="1"/>
      <c r="SG39" s="22">
        <v>11208</v>
      </c>
      <c r="SH39" s="1" t="s">
        <v>38</v>
      </c>
      <c r="SI39" s="1">
        <v>2022</v>
      </c>
      <c r="SJ39" s="1" t="s">
        <v>56</v>
      </c>
      <c r="SK39" s="1">
        <v>14910.75575260639</v>
      </c>
      <c r="SL39" s="1">
        <v>6325875.5612572851</v>
      </c>
      <c r="SM39" s="1">
        <v>2.3571054486001999E-3</v>
      </c>
      <c r="SN39" s="1"/>
      <c r="SO39" s="22">
        <v>12128</v>
      </c>
      <c r="SP39" s="1" t="s">
        <v>31</v>
      </c>
      <c r="SQ39" s="1">
        <v>2022</v>
      </c>
      <c r="SR39" s="1" t="s">
        <v>56</v>
      </c>
      <c r="SS39" s="1">
        <v>65042.631601922643</v>
      </c>
      <c r="ST39" s="1">
        <v>9782189.227885304</v>
      </c>
      <c r="SU39" s="1">
        <v>6.6490874472670001E-3</v>
      </c>
      <c r="SV39" s="1"/>
      <c r="SW39" s="22">
        <v>13048</v>
      </c>
      <c r="SX39" s="1" t="s">
        <v>51</v>
      </c>
      <c r="SY39" s="1">
        <v>2022</v>
      </c>
      <c r="SZ39" s="1" t="s">
        <v>56</v>
      </c>
      <c r="TA39" s="1">
        <v>10205.204992450679</v>
      </c>
      <c r="TB39" s="1">
        <v>4800579.963537232</v>
      </c>
      <c r="TC39" s="1">
        <v>2.1258275187506998E-3</v>
      </c>
      <c r="TD39" s="1"/>
      <c r="TE39" s="22">
        <v>13968</v>
      </c>
      <c r="TF39" s="1" t="s">
        <v>57</v>
      </c>
      <c r="TG39" s="1">
        <v>2022</v>
      </c>
      <c r="TH39" s="1" t="s">
        <v>56</v>
      </c>
      <c r="TI39" s="1">
        <v>9725.8476764267616</v>
      </c>
      <c r="TJ39" s="1">
        <v>9346455.8140041605</v>
      </c>
      <c r="TK39" s="1">
        <v>1.0405920564942001E-3</v>
      </c>
      <c r="TL39" s="1"/>
      <c r="TM39" s="22">
        <v>8494</v>
      </c>
      <c r="TN39" s="1" t="s">
        <v>17</v>
      </c>
      <c r="TO39" s="1">
        <v>2023</v>
      </c>
      <c r="TP39" s="1" t="s">
        <v>56</v>
      </c>
      <c r="TQ39" s="1">
        <v>18457.27057160802</v>
      </c>
      <c r="TR39" s="1">
        <v>4968081.7329930915</v>
      </c>
      <c r="TS39" s="1">
        <v>3.7151704749608001E-3</v>
      </c>
      <c r="TT39" s="1"/>
      <c r="TU39" s="22">
        <v>9414</v>
      </c>
      <c r="TV39" s="1" t="s">
        <v>61</v>
      </c>
      <c r="TW39" s="1">
        <v>2023</v>
      </c>
      <c r="TX39" s="1" t="s">
        <v>56</v>
      </c>
      <c r="TY39" s="1">
        <v>222643.27526001609</v>
      </c>
      <c r="TZ39" s="1">
        <v>61560292.543660469</v>
      </c>
      <c r="UA39" s="1">
        <v>3.6166701953554E-3</v>
      </c>
      <c r="UB39" s="1"/>
      <c r="UC39" s="22">
        <v>10334</v>
      </c>
      <c r="UD39" s="1" t="s">
        <v>44</v>
      </c>
      <c r="UE39" s="1">
        <v>2023</v>
      </c>
      <c r="UF39" s="1" t="s">
        <v>56</v>
      </c>
      <c r="UG39" s="1">
        <v>38395.920777370971</v>
      </c>
      <c r="UH39" s="1">
        <v>7441719.4347760417</v>
      </c>
      <c r="UI39" s="1">
        <v>5.1595496328364996E-3</v>
      </c>
      <c r="UJ39" s="1"/>
      <c r="UK39" s="22">
        <v>11254</v>
      </c>
      <c r="UL39" s="1" t="s">
        <v>38</v>
      </c>
      <c r="UM39" s="1">
        <v>2023</v>
      </c>
      <c r="UN39" s="1" t="s">
        <v>56</v>
      </c>
      <c r="UO39" s="1">
        <v>16273.32250776983</v>
      </c>
      <c r="UP39" s="1">
        <v>6903943.3587640161</v>
      </c>
      <c r="UQ39" s="1">
        <v>2.3571054486001999E-3</v>
      </c>
      <c r="UR39" s="1"/>
      <c r="US39" s="22">
        <v>12174</v>
      </c>
      <c r="UT39" s="1" t="s">
        <v>31</v>
      </c>
      <c r="UU39" s="1">
        <v>2023</v>
      </c>
      <c r="UV39" s="1" t="s">
        <v>56</v>
      </c>
      <c r="UW39" s="1">
        <v>70699.259736963519</v>
      </c>
      <c r="UX39" s="1">
        <v>10632926.743356841</v>
      </c>
      <c r="UY39" s="1">
        <v>6.6490874472670001E-3</v>
      </c>
      <c r="UZ39" s="1"/>
      <c r="VA39" s="22">
        <v>13094</v>
      </c>
      <c r="VB39" s="1" t="s">
        <v>51</v>
      </c>
      <c r="VC39" s="1">
        <v>2023</v>
      </c>
      <c r="VD39" s="1" t="s">
        <v>56</v>
      </c>
      <c r="VE39" s="1">
        <v>11177.868358776919</v>
      </c>
      <c r="VF39" s="1">
        <v>5258125.7228930313</v>
      </c>
      <c r="VG39" s="1">
        <v>2.1258275187506998E-3</v>
      </c>
      <c r="VH39" s="1"/>
      <c r="VI39" s="22">
        <v>14014</v>
      </c>
      <c r="VJ39" s="1" t="s">
        <v>57</v>
      </c>
      <c r="VK39" s="1">
        <v>2023</v>
      </c>
      <c r="VL39" s="1" t="s">
        <v>56</v>
      </c>
      <c r="VM39" s="1">
        <v>9613.3804551575686</v>
      </c>
      <c r="VN39" s="1">
        <v>9238375.7834414635</v>
      </c>
      <c r="VO39" s="1">
        <v>1.0405920564942001E-3</v>
      </c>
      <c r="VP39" s="1"/>
      <c r="VQ39" s="22">
        <v>8540</v>
      </c>
      <c r="VR39" s="1" t="s">
        <v>17</v>
      </c>
      <c r="VS39" s="1">
        <v>2024</v>
      </c>
      <c r="VT39" s="1" t="s">
        <v>56</v>
      </c>
      <c r="VU39" s="1">
        <v>19034.001890461899</v>
      </c>
      <c r="VV39" s="1">
        <v>5123318.5714479852</v>
      </c>
      <c r="VW39" s="1">
        <v>3.7151704749608001E-3</v>
      </c>
      <c r="VX39" s="1"/>
      <c r="VY39" s="22">
        <v>9460</v>
      </c>
      <c r="VZ39" s="1" t="s">
        <v>61</v>
      </c>
      <c r="WA39" s="1">
        <v>2024</v>
      </c>
      <c r="WB39" s="1" t="s">
        <v>56</v>
      </c>
      <c r="WC39" s="1">
        <v>234403.2338337792</v>
      </c>
      <c r="WD39" s="1">
        <v>64811890.820126347</v>
      </c>
      <c r="WE39" s="1">
        <v>3.6166701953554E-3</v>
      </c>
      <c r="WF39" s="1"/>
      <c r="WG39" s="22">
        <v>10380</v>
      </c>
      <c r="WH39" s="1" t="s">
        <v>44</v>
      </c>
      <c r="WI39" s="1">
        <v>2024</v>
      </c>
      <c r="WJ39" s="1" t="s">
        <v>56</v>
      </c>
      <c r="WK39" s="1">
        <v>41517.513489049299</v>
      </c>
      <c r="WL39" s="1">
        <v>8046732.0684004631</v>
      </c>
      <c r="WM39" s="1">
        <v>5.1595496328364996E-3</v>
      </c>
      <c r="WN39" s="1"/>
      <c r="WO39" s="22">
        <v>11300</v>
      </c>
      <c r="WP39" s="1" t="s">
        <v>38</v>
      </c>
      <c r="WQ39" s="1">
        <v>2024</v>
      </c>
      <c r="WR39" s="1" t="s">
        <v>56</v>
      </c>
      <c r="WS39" s="1">
        <v>16861.210367343141</v>
      </c>
      <c r="WT39" s="1">
        <v>7153354.2877160665</v>
      </c>
      <c r="WU39" s="1">
        <v>2.3571054486001999E-3</v>
      </c>
      <c r="WV39" s="1"/>
      <c r="WW39" s="22">
        <v>12220</v>
      </c>
      <c r="WX39" s="1" t="s">
        <v>31</v>
      </c>
      <c r="WY39" s="1">
        <v>2024</v>
      </c>
      <c r="WZ39" s="1" t="s">
        <v>56</v>
      </c>
      <c r="XA39" s="1">
        <v>72796.16444441046</v>
      </c>
      <c r="XB39" s="1">
        <v>10948294.03609846</v>
      </c>
      <c r="XC39" s="1">
        <v>6.6490874472670001E-3</v>
      </c>
      <c r="XD39" s="1"/>
      <c r="XE39" s="22">
        <v>13140</v>
      </c>
      <c r="XF39" s="1" t="s">
        <v>51</v>
      </c>
      <c r="XG39" s="1">
        <v>2024</v>
      </c>
      <c r="XH39" s="1" t="s">
        <v>56</v>
      </c>
      <c r="XI39" s="1">
        <v>11508.45943810672</v>
      </c>
      <c r="XJ39" s="1">
        <v>5413637.436055948</v>
      </c>
      <c r="XK39" s="1">
        <v>2.1258275187506998E-3</v>
      </c>
      <c r="XL39" s="1"/>
      <c r="XM39" s="22">
        <v>14060</v>
      </c>
      <c r="XN39" s="1" t="s">
        <v>57</v>
      </c>
      <c r="XO39" s="1">
        <v>2024</v>
      </c>
      <c r="XP39" s="1" t="s">
        <v>56</v>
      </c>
      <c r="XQ39" s="1">
        <v>9186.7853711955522</v>
      </c>
      <c r="XR39" s="1">
        <v>8828421.583522588</v>
      </c>
      <c r="XS39" s="1">
        <v>1.0405920564942001E-3</v>
      </c>
      <c r="XT39" s="1"/>
    </row>
    <row r="40" spans="1:644" x14ac:dyDescent="0.25">
      <c r="A40" s="2">
        <v>31</v>
      </c>
      <c r="B40" s="1" t="s">
        <v>17</v>
      </c>
      <c r="C40" s="1" t="s">
        <v>58</v>
      </c>
      <c r="D40" s="1">
        <v>0.2210725872676578</v>
      </c>
      <c r="E40" s="1">
        <v>0.22586573253586131</v>
      </c>
      <c r="F40" s="1">
        <v>0.2235786322543091</v>
      </c>
      <c r="G40" s="1">
        <v>0.22161559605514961</v>
      </c>
      <c r="H40" s="1">
        <v>0.2227561619187548</v>
      </c>
      <c r="I40" s="1">
        <v>0.22385769271221001</v>
      </c>
      <c r="J40" s="1">
        <v>0.2287278615300663</v>
      </c>
      <c r="K40" s="1">
        <v>0.2287278615300668</v>
      </c>
      <c r="L40" s="1">
        <v>0.22872786153006669</v>
      </c>
      <c r="M40" s="1">
        <v>0.22872786153006669</v>
      </c>
      <c r="N40" s="1">
        <v>0.2287278615300668</v>
      </c>
      <c r="O40" s="1">
        <v>0.2256714282176614</v>
      </c>
      <c r="P40" s="1"/>
      <c r="Q40" s="2">
        <v>255</v>
      </c>
      <c r="R40" s="1" t="s">
        <v>57</v>
      </c>
      <c r="S40" s="1" t="s">
        <v>21</v>
      </c>
      <c r="T40" s="1">
        <v>9.1675687581907125E-2</v>
      </c>
      <c r="U40" s="1"/>
      <c r="AC40" s="22">
        <v>905</v>
      </c>
      <c r="AD40" s="1" t="s">
        <v>17</v>
      </c>
      <c r="AE40" s="1">
        <v>2014</v>
      </c>
      <c r="AF40" s="1" t="s">
        <v>59</v>
      </c>
      <c r="AG40" s="1">
        <v>73831.3</v>
      </c>
      <c r="AH40" s="1">
        <v>4088215.6</v>
      </c>
      <c r="AI40" s="1">
        <v>1.8059541673878399E-2</v>
      </c>
      <c r="AJ40" s="1"/>
      <c r="AK40" s="22">
        <v>2101</v>
      </c>
      <c r="AL40" s="1" t="s">
        <v>61</v>
      </c>
      <c r="AM40" s="1">
        <v>2014</v>
      </c>
      <c r="AN40" s="1" t="s">
        <v>59</v>
      </c>
      <c r="AO40" s="1">
        <v>862234.9</v>
      </c>
      <c r="AP40" s="1">
        <v>40350049.200000003</v>
      </c>
      <c r="AQ40" s="1">
        <v>2.1368868615902401E-2</v>
      </c>
      <c r="AR40" s="1"/>
      <c r="AS40" s="22">
        <v>3297</v>
      </c>
      <c r="AT40" s="1" t="s">
        <v>44</v>
      </c>
      <c r="AU40" s="1">
        <v>2014</v>
      </c>
      <c r="AV40" s="1" t="s">
        <v>59</v>
      </c>
      <c r="AW40" s="1">
        <v>144860.20000000001</v>
      </c>
      <c r="AX40" s="1">
        <v>6735816.8000000007</v>
      </c>
      <c r="AY40" s="1">
        <v>2.1505959010049001E-2</v>
      </c>
      <c r="AZ40" s="1"/>
      <c r="BA40" s="22">
        <v>4493</v>
      </c>
      <c r="BB40" s="1" t="s">
        <v>38</v>
      </c>
      <c r="BC40" s="1">
        <v>2014</v>
      </c>
      <c r="BD40" s="1" t="s">
        <v>59</v>
      </c>
      <c r="BE40" s="1">
        <v>133071.20000000001</v>
      </c>
      <c r="BF40" s="1">
        <v>6538596.7000000002</v>
      </c>
      <c r="BG40" s="1">
        <v>2.03516451779324E-2</v>
      </c>
      <c r="BH40" s="1"/>
      <c r="BI40" s="22">
        <v>5689</v>
      </c>
      <c r="BJ40" s="1" t="s">
        <v>31</v>
      </c>
      <c r="BK40" s="1">
        <v>2014</v>
      </c>
      <c r="BL40" s="1" t="s">
        <v>59</v>
      </c>
      <c r="BM40" s="1">
        <v>111417</v>
      </c>
      <c r="BN40" s="1">
        <v>9155477.5</v>
      </c>
      <c r="BO40" s="1">
        <v>1.21694362746235E-2</v>
      </c>
      <c r="BP40" s="1"/>
      <c r="BQ40" s="22">
        <v>6885</v>
      </c>
      <c r="BR40" s="1" t="s">
        <v>51</v>
      </c>
      <c r="BS40" s="1">
        <v>2014</v>
      </c>
      <c r="BT40" s="1" t="s">
        <v>59</v>
      </c>
      <c r="BU40" s="1">
        <v>135073.9</v>
      </c>
      <c r="BV40" s="1">
        <v>4981875.5</v>
      </c>
      <c r="BW40" s="1">
        <v>2.7113062138947399E-2</v>
      </c>
      <c r="BX40" s="1"/>
      <c r="BY40" s="22">
        <v>8081</v>
      </c>
      <c r="BZ40" s="1" t="s">
        <v>57</v>
      </c>
      <c r="CA40" s="1">
        <v>2014</v>
      </c>
      <c r="CB40" s="1" t="s">
        <v>59</v>
      </c>
      <c r="CC40" s="1">
        <v>273430.59999999998</v>
      </c>
      <c r="CD40" s="1">
        <v>11026913.800000001</v>
      </c>
      <c r="CE40" s="1">
        <v>2.4796657066458599E-2</v>
      </c>
      <c r="CF40" s="1"/>
      <c r="CG40" s="22">
        <v>951</v>
      </c>
      <c r="CH40" s="1" t="s">
        <v>17</v>
      </c>
      <c r="CI40" s="1">
        <v>2015</v>
      </c>
      <c r="CJ40" s="1" t="s">
        <v>59</v>
      </c>
      <c r="CK40" s="1">
        <v>67677.100000000006</v>
      </c>
      <c r="CL40" s="1">
        <v>3555133.8</v>
      </c>
      <c r="CM40" s="1">
        <v>1.90364424540083E-2</v>
      </c>
      <c r="CN40" s="1"/>
      <c r="CO40" s="22">
        <v>2147</v>
      </c>
      <c r="CP40" s="1" t="s">
        <v>61</v>
      </c>
      <c r="CQ40" s="1">
        <v>2015</v>
      </c>
      <c r="CR40" s="1" t="s">
        <v>59</v>
      </c>
      <c r="CS40" s="1">
        <v>928084.2</v>
      </c>
      <c r="CT40" s="1">
        <v>41208556.399999999</v>
      </c>
      <c r="CU40" s="1">
        <v>2.25216382488953E-2</v>
      </c>
      <c r="CV40" s="1"/>
      <c r="CW40" s="22">
        <v>3343</v>
      </c>
      <c r="CX40" s="1" t="s">
        <v>44</v>
      </c>
      <c r="CY40" s="1">
        <v>2015</v>
      </c>
      <c r="CZ40" s="1" t="s">
        <v>59</v>
      </c>
      <c r="DA40" s="1">
        <v>138202.20000000001</v>
      </c>
      <c r="DB40" s="1">
        <v>6404349.4000000004</v>
      </c>
      <c r="DC40" s="1">
        <v>2.15794285052592E-2</v>
      </c>
      <c r="DD40" s="1"/>
      <c r="DE40" s="22">
        <v>4539</v>
      </c>
      <c r="DF40" s="1" t="s">
        <v>38</v>
      </c>
      <c r="DG40" s="1">
        <v>2015</v>
      </c>
      <c r="DH40" s="1" t="s">
        <v>59</v>
      </c>
      <c r="DI40" s="1">
        <v>112441.9</v>
      </c>
      <c r="DJ40" s="1">
        <v>5531517.5999999996</v>
      </c>
      <c r="DK40" s="1">
        <v>2.0327495658695901E-2</v>
      </c>
      <c r="DL40" s="1"/>
      <c r="DM40" s="22">
        <v>5735</v>
      </c>
      <c r="DN40" s="1" t="s">
        <v>31</v>
      </c>
      <c r="DO40" s="1">
        <v>2015</v>
      </c>
      <c r="DP40" s="1" t="s">
        <v>59</v>
      </c>
      <c r="DQ40" s="1">
        <v>96824.7</v>
      </c>
      <c r="DR40" s="1">
        <v>7894528</v>
      </c>
      <c r="DS40" s="1">
        <v>1.2264786444484E-2</v>
      </c>
      <c r="DT40" s="1"/>
      <c r="DU40" s="22">
        <v>6931</v>
      </c>
      <c r="DV40" s="1" t="s">
        <v>51</v>
      </c>
      <c r="DW40" s="1">
        <v>2015</v>
      </c>
      <c r="DX40" s="1" t="s">
        <v>59</v>
      </c>
      <c r="DY40" s="1">
        <v>116129.9</v>
      </c>
      <c r="DZ40" s="1">
        <v>4209274.5999999996</v>
      </c>
      <c r="EA40" s="1">
        <v>2.7589052992646201E-2</v>
      </c>
      <c r="EB40" s="1"/>
      <c r="EC40" s="22">
        <v>8127</v>
      </c>
      <c r="ED40" s="1" t="s">
        <v>57</v>
      </c>
      <c r="EE40" s="1">
        <v>2015</v>
      </c>
      <c r="EF40" s="1" t="s">
        <v>59</v>
      </c>
      <c r="EG40" s="1">
        <v>245278.4</v>
      </c>
      <c r="EH40" s="1">
        <v>9729477.0999999996</v>
      </c>
      <c r="EI40" s="1">
        <v>2.52098234549521E-2</v>
      </c>
      <c r="EJ40" s="1"/>
      <c r="EK40" s="22">
        <v>997</v>
      </c>
      <c r="EL40" s="1" t="s">
        <v>17</v>
      </c>
      <c r="EM40" s="1">
        <v>2016</v>
      </c>
      <c r="EN40" s="1" t="s">
        <v>59</v>
      </c>
      <c r="EO40" s="1">
        <v>69775.600000000006</v>
      </c>
      <c r="EP40" s="1">
        <v>3463407</v>
      </c>
      <c r="EQ40" s="1">
        <v>2.01465204638091E-2</v>
      </c>
      <c r="ER40" s="1"/>
      <c r="ES40" s="22">
        <v>2193</v>
      </c>
      <c r="ET40" s="1" t="s">
        <v>61</v>
      </c>
      <c r="EU40" s="1">
        <v>2016</v>
      </c>
      <c r="EV40" s="1" t="s">
        <v>59</v>
      </c>
      <c r="EW40" s="1">
        <v>972235.6</v>
      </c>
      <c r="EX40" s="1">
        <v>42141395.200000003</v>
      </c>
      <c r="EY40" s="1">
        <v>2.3070797618015199E-2</v>
      </c>
      <c r="EZ40" s="1"/>
      <c r="FA40" s="22">
        <v>3389</v>
      </c>
      <c r="FB40" s="1" t="s">
        <v>44</v>
      </c>
      <c r="FC40" s="1">
        <v>2016</v>
      </c>
      <c r="FD40" s="1" t="s">
        <v>59</v>
      </c>
      <c r="FE40" s="1">
        <v>129743.9</v>
      </c>
      <c r="FF40" s="1">
        <v>5868597.7999999998</v>
      </c>
      <c r="FG40" s="1">
        <v>2.2108160146875201E-2</v>
      </c>
      <c r="FH40" s="1"/>
      <c r="FI40" s="22">
        <v>4585</v>
      </c>
      <c r="FJ40" s="1" t="s">
        <v>38</v>
      </c>
      <c r="FK40" s="1">
        <v>2016</v>
      </c>
      <c r="FL40" s="1" t="s">
        <v>59</v>
      </c>
      <c r="FM40" s="1">
        <v>115515.7</v>
      </c>
      <c r="FN40" s="1">
        <v>5582986.5</v>
      </c>
      <c r="FO40" s="1">
        <v>2.0690664396197201E-2</v>
      </c>
      <c r="FP40" s="1"/>
      <c r="FQ40" s="22">
        <v>5781</v>
      </c>
      <c r="FR40" s="1" t="s">
        <v>31</v>
      </c>
      <c r="FS40" s="1">
        <v>2016</v>
      </c>
      <c r="FT40" s="1" t="s">
        <v>59</v>
      </c>
      <c r="FU40" s="1">
        <v>101152.9</v>
      </c>
      <c r="FV40" s="1">
        <v>8130820.9000000004</v>
      </c>
      <c r="FW40" s="1">
        <v>1.24406749630901E-2</v>
      </c>
      <c r="FX40" s="1"/>
      <c r="FY40" s="22">
        <v>6977</v>
      </c>
      <c r="FZ40" s="1" t="s">
        <v>51</v>
      </c>
      <c r="GA40" s="1">
        <v>2016</v>
      </c>
      <c r="GB40" s="1" t="s">
        <v>59</v>
      </c>
      <c r="GC40" s="1">
        <v>120563.2</v>
      </c>
      <c r="GD40" s="1">
        <v>4230502.5999999996</v>
      </c>
      <c r="GE40" s="1">
        <v>2.8498552394223799E-2</v>
      </c>
      <c r="GF40" s="1"/>
      <c r="GG40" s="22">
        <v>8173</v>
      </c>
      <c r="GH40" s="1" t="s">
        <v>57</v>
      </c>
      <c r="GI40" s="1">
        <v>2016</v>
      </c>
      <c r="GJ40" s="1" t="s">
        <v>59</v>
      </c>
      <c r="GK40" s="1">
        <v>275643.8</v>
      </c>
      <c r="GL40" s="1">
        <v>10773649.5</v>
      </c>
      <c r="GM40" s="1">
        <v>2.5584997915515901E-2</v>
      </c>
      <c r="GN40" s="1"/>
      <c r="GO40" s="22">
        <v>1043</v>
      </c>
      <c r="GP40" s="1" t="s">
        <v>17</v>
      </c>
      <c r="GQ40" s="1">
        <v>2017</v>
      </c>
      <c r="GR40" s="1" t="s">
        <v>59</v>
      </c>
      <c r="GS40" s="1">
        <v>75012.600000000006</v>
      </c>
      <c r="GT40" s="1">
        <v>3719735.5</v>
      </c>
      <c r="GU40" s="1">
        <v>2.01661112732343E-2</v>
      </c>
      <c r="GV40" s="1"/>
      <c r="GW40" s="22">
        <v>2239</v>
      </c>
      <c r="GX40" s="1" t="s">
        <v>61</v>
      </c>
      <c r="GY40" s="1">
        <v>2017</v>
      </c>
      <c r="GZ40" s="1" t="s">
        <v>59</v>
      </c>
      <c r="HA40" s="1">
        <v>1021445.6</v>
      </c>
      <c r="HB40" s="1">
        <v>44107004.100000001</v>
      </c>
      <c r="HC40" s="1">
        <v>2.3158353663834501E-2</v>
      </c>
      <c r="HD40" s="1"/>
      <c r="HE40" s="22">
        <v>3435</v>
      </c>
      <c r="HF40" s="1" t="s">
        <v>44</v>
      </c>
      <c r="HG40" s="1">
        <v>2017</v>
      </c>
      <c r="HH40" s="1" t="s">
        <v>59</v>
      </c>
      <c r="HI40" s="1">
        <v>131422</v>
      </c>
      <c r="HJ40" s="1">
        <v>5855367.5</v>
      </c>
      <c r="HK40" s="1">
        <v>2.2444705648279099E-2</v>
      </c>
      <c r="HL40" s="1"/>
      <c r="HM40" s="22">
        <v>4631</v>
      </c>
      <c r="HN40" s="1" t="s">
        <v>38</v>
      </c>
      <c r="HO40" s="1">
        <v>2017</v>
      </c>
      <c r="HP40" s="1" t="s">
        <v>59</v>
      </c>
      <c r="HQ40" s="1">
        <v>121948.9</v>
      </c>
      <c r="HR40" s="1">
        <v>5923445.7000000002</v>
      </c>
      <c r="HS40" s="1">
        <v>2.0587493525938701E-2</v>
      </c>
      <c r="HT40" s="1"/>
      <c r="HU40" s="22">
        <v>5827</v>
      </c>
      <c r="HV40" s="1" t="s">
        <v>31</v>
      </c>
      <c r="HW40" s="1">
        <v>2017</v>
      </c>
      <c r="HX40" s="1" t="s">
        <v>59</v>
      </c>
      <c r="HY40" s="1">
        <v>107035.2</v>
      </c>
      <c r="HZ40" s="1">
        <v>8686095.3000000007</v>
      </c>
      <c r="IA40" s="1">
        <v>1.2322591026603101E-2</v>
      </c>
      <c r="IB40" s="1"/>
      <c r="IC40" s="22">
        <v>7023</v>
      </c>
      <c r="ID40" s="1" t="s">
        <v>51</v>
      </c>
      <c r="IE40" s="1">
        <v>2017</v>
      </c>
      <c r="IF40" s="1" t="s">
        <v>59</v>
      </c>
      <c r="IG40" s="1">
        <v>129995.9</v>
      </c>
      <c r="IH40" s="1">
        <v>4472691.8</v>
      </c>
      <c r="II40" s="1">
        <v>2.90643544900634E-2</v>
      </c>
      <c r="IJ40" s="1"/>
      <c r="IK40" s="22">
        <v>8219</v>
      </c>
      <c r="IL40" s="1" t="s">
        <v>57</v>
      </c>
      <c r="IM40" s="1">
        <v>2017</v>
      </c>
      <c r="IN40" s="1" t="s">
        <v>59</v>
      </c>
      <c r="IO40" s="1">
        <v>270169.09999999998</v>
      </c>
      <c r="IP40" s="1">
        <v>10750260.5</v>
      </c>
      <c r="IQ40" s="1">
        <v>2.5131400304206498E-2</v>
      </c>
      <c r="IR40" s="1"/>
      <c r="IS40" s="22">
        <v>1089</v>
      </c>
      <c r="IT40" s="1" t="s">
        <v>17</v>
      </c>
      <c r="IU40" s="1">
        <v>2018</v>
      </c>
      <c r="IV40" s="1" t="s">
        <v>59</v>
      </c>
      <c r="IW40" s="1">
        <v>78841.8</v>
      </c>
      <c r="IX40" s="1">
        <v>3904165.4</v>
      </c>
      <c r="IY40" s="1">
        <v>2.0194277629733599E-2</v>
      </c>
      <c r="IZ40" s="1"/>
      <c r="JA40" s="22">
        <v>2285</v>
      </c>
      <c r="JB40" s="1" t="s">
        <v>61</v>
      </c>
      <c r="JC40" s="1">
        <v>2018</v>
      </c>
      <c r="JD40" s="1" t="s">
        <v>59</v>
      </c>
      <c r="JE40" s="1">
        <v>1077812.7</v>
      </c>
      <c r="JF40" s="1">
        <v>46669099.200000003</v>
      </c>
      <c r="JG40" s="1">
        <v>2.30947825965323E-2</v>
      </c>
      <c r="JH40" s="1"/>
      <c r="JI40" s="22">
        <v>3481</v>
      </c>
      <c r="JJ40" s="1" t="s">
        <v>44</v>
      </c>
      <c r="JK40" s="1">
        <v>2018</v>
      </c>
      <c r="JL40" s="1" t="s">
        <v>59</v>
      </c>
      <c r="JM40" s="1">
        <v>140351.4</v>
      </c>
      <c r="JN40" s="1">
        <v>6336724.7000000002</v>
      </c>
      <c r="JO40" s="1">
        <v>2.21488871056683E-2</v>
      </c>
      <c r="JP40" s="1"/>
      <c r="JQ40" s="22">
        <v>4677</v>
      </c>
      <c r="JR40" s="1" t="s">
        <v>38</v>
      </c>
      <c r="JS40" s="1">
        <v>2018</v>
      </c>
      <c r="JT40" s="1" t="s">
        <v>59</v>
      </c>
      <c r="JU40" s="1">
        <v>135378.9</v>
      </c>
      <c r="JV40" s="1">
        <v>6390706</v>
      </c>
      <c r="JW40" s="1">
        <v>2.1183715852364299E-2</v>
      </c>
      <c r="JX40" s="1"/>
      <c r="JY40" s="22">
        <v>5873</v>
      </c>
      <c r="JZ40" s="1" t="s">
        <v>31</v>
      </c>
      <c r="KA40" s="1">
        <v>2018</v>
      </c>
      <c r="KB40" s="1" t="s">
        <v>59</v>
      </c>
      <c r="KC40" s="1">
        <v>117304.6</v>
      </c>
      <c r="KD40" s="1">
        <v>9443218.3000000007</v>
      </c>
      <c r="KE40" s="1">
        <v>1.24220997835028E-2</v>
      </c>
      <c r="KF40" s="1"/>
      <c r="KG40" s="22">
        <v>7069</v>
      </c>
      <c r="KH40" s="1" t="s">
        <v>51</v>
      </c>
      <c r="KI40" s="1">
        <v>2018</v>
      </c>
      <c r="KJ40" s="1" t="s">
        <v>59</v>
      </c>
      <c r="KK40" s="1">
        <v>141512.29999999999</v>
      </c>
      <c r="KL40" s="1">
        <v>4803387.8</v>
      </c>
      <c r="KM40" s="1">
        <v>2.94609358836278E-2</v>
      </c>
      <c r="KN40" s="1"/>
      <c r="KO40" s="22">
        <v>8265</v>
      </c>
      <c r="KP40" s="1" t="s">
        <v>57</v>
      </c>
      <c r="KQ40" s="1">
        <v>2018</v>
      </c>
      <c r="KR40" s="1" t="s">
        <v>59</v>
      </c>
      <c r="KS40" s="1">
        <v>271489.5</v>
      </c>
      <c r="KT40" s="1">
        <v>11172914.4</v>
      </c>
      <c r="KU40" s="1">
        <v>2.4298897340518402E-2</v>
      </c>
      <c r="KV40" s="1"/>
      <c r="KW40" s="22">
        <v>1135</v>
      </c>
      <c r="KX40" s="1" t="s">
        <v>17</v>
      </c>
      <c r="KY40" s="1">
        <v>2019</v>
      </c>
      <c r="KZ40" s="1" t="s">
        <v>59</v>
      </c>
      <c r="LA40" s="1">
        <v>80454.399999999994</v>
      </c>
      <c r="LB40" s="1">
        <v>3955328</v>
      </c>
      <c r="LC40" s="1">
        <v>2.03407656710138E-2</v>
      </c>
      <c r="LD40" s="1"/>
      <c r="LE40" s="22">
        <v>2331</v>
      </c>
      <c r="LF40" s="1" t="s">
        <v>61</v>
      </c>
      <c r="LG40" s="1">
        <v>2019</v>
      </c>
      <c r="LH40" s="1" t="s">
        <v>59</v>
      </c>
      <c r="LI40" s="1">
        <v>1128654.8999999999</v>
      </c>
      <c r="LJ40" s="1">
        <v>48356774.5</v>
      </c>
      <c r="LK40" s="1">
        <v>2.33401609530428E-2</v>
      </c>
      <c r="LL40" s="1"/>
      <c r="LM40" s="22">
        <v>3527</v>
      </c>
      <c r="LN40" s="1" t="s">
        <v>44</v>
      </c>
      <c r="LO40" s="1">
        <v>2019</v>
      </c>
      <c r="LP40" s="1" t="s">
        <v>59</v>
      </c>
      <c r="LQ40" s="1">
        <v>139375.20000000001</v>
      </c>
      <c r="LR40" s="1">
        <v>6269787.0999999996</v>
      </c>
      <c r="LS40" s="1">
        <v>2.2229654337066699E-2</v>
      </c>
      <c r="LT40" s="1"/>
      <c r="LU40" s="22">
        <v>4723</v>
      </c>
      <c r="LV40" s="1" t="s">
        <v>38</v>
      </c>
      <c r="LW40" s="1">
        <v>2019</v>
      </c>
      <c r="LX40" s="1" t="s">
        <v>59</v>
      </c>
      <c r="LY40" s="1">
        <v>135033.1</v>
      </c>
      <c r="LZ40" s="1">
        <v>6182094.5</v>
      </c>
      <c r="MA40" s="1">
        <v>2.1842613373186E-2</v>
      </c>
      <c r="MB40" s="1"/>
      <c r="MC40" s="22">
        <v>5919</v>
      </c>
      <c r="MD40" s="1" t="s">
        <v>31</v>
      </c>
      <c r="ME40" s="1">
        <v>2019</v>
      </c>
      <c r="MF40" s="1" t="s">
        <v>59</v>
      </c>
      <c r="MG40" s="1">
        <v>116295</v>
      </c>
      <c r="MH40" s="1">
        <v>9237079</v>
      </c>
      <c r="MI40" s="1">
        <v>1.2590018987604101E-2</v>
      </c>
      <c r="MJ40" s="1"/>
      <c r="MK40" s="22">
        <v>7115</v>
      </c>
      <c r="ML40" s="1" t="s">
        <v>51</v>
      </c>
      <c r="MM40" s="1">
        <v>2019</v>
      </c>
      <c r="MN40" s="1" t="s">
        <v>59</v>
      </c>
      <c r="MO40" s="1">
        <v>137089</v>
      </c>
      <c r="MP40" s="1">
        <v>4608662</v>
      </c>
      <c r="MQ40" s="1">
        <v>2.9745943616607099E-2</v>
      </c>
      <c r="MR40" s="1"/>
      <c r="MS40" s="22">
        <v>8311</v>
      </c>
      <c r="MT40" s="1" t="s">
        <v>57</v>
      </c>
      <c r="MU40" s="1">
        <v>2019</v>
      </c>
      <c r="MV40" s="1" t="s">
        <v>59</v>
      </c>
      <c r="MW40" s="1">
        <v>273223.59999999998</v>
      </c>
      <c r="MX40" s="1">
        <v>11338077</v>
      </c>
      <c r="MY40" s="1">
        <v>2.4097878326280499E-2</v>
      </c>
      <c r="MZ40" s="1"/>
      <c r="NA40" s="22">
        <v>1181</v>
      </c>
      <c r="NB40" s="1" t="s">
        <v>17</v>
      </c>
      <c r="NC40" s="1">
        <v>2020</v>
      </c>
      <c r="ND40" s="1" t="s">
        <v>59</v>
      </c>
      <c r="NE40" s="1">
        <v>55633.9</v>
      </c>
      <c r="NF40" s="1">
        <v>3784752.3</v>
      </c>
      <c r="NG40" s="1">
        <v>1.4699482446975399E-2</v>
      </c>
      <c r="NH40" s="1"/>
      <c r="NI40" s="22">
        <v>2377</v>
      </c>
      <c r="NJ40" s="1" t="s">
        <v>61</v>
      </c>
      <c r="NK40" s="1">
        <v>2020</v>
      </c>
      <c r="NL40" s="1" t="s">
        <v>59</v>
      </c>
      <c r="NM40" s="1">
        <v>867245.2</v>
      </c>
      <c r="NN40" s="1">
        <v>47421769.399999999</v>
      </c>
      <c r="NO40" s="1">
        <v>1.8287913145644801E-2</v>
      </c>
      <c r="NP40" s="1"/>
      <c r="NQ40" s="22">
        <v>3573</v>
      </c>
      <c r="NR40" s="1" t="s">
        <v>44</v>
      </c>
      <c r="NS40" s="1">
        <v>2020</v>
      </c>
      <c r="NT40" s="1" t="s">
        <v>59</v>
      </c>
      <c r="NU40" s="1">
        <v>88396.1</v>
      </c>
      <c r="NV40" s="1">
        <v>5955345.3666666672</v>
      </c>
      <c r="NW40" s="1">
        <v>1.4843152589398299E-2</v>
      </c>
      <c r="NX40" s="1"/>
      <c r="NY40" s="22">
        <v>4769</v>
      </c>
      <c r="NZ40" s="1" t="s">
        <v>38</v>
      </c>
      <c r="OA40" s="1">
        <v>2020</v>
      </c>
      <c r="OB40" s="1" t="s">
        <v>59</v>
      </c>
      <c r="OC40" s="1">
        <v>91432.2</v>
      </c>
      <c r="OD40" s="1">
        <v>5990228.4000000004</v>
      </c>
      <c r="OE40" s="1">
        <v>1.52635582309349E-2</v>
      </c>
      <c r="OF40" s="1"/>
      <c r="OG40" s="22">
        <v>5965</v>
      </c>
      <c r="OH40" s="1" t="s">
        <v>31</v>
      </c>
      <c r="OI40" s="1">
        <v>2020</v>
      </c>
      <c r="OJ40" s="1" t="s">
        <v>59</v>
      </c>
      <c r="OK40" s="1">
        <v>81185.5</v>
      </c>
      <c r="OL40" s="1">
        <v>9257180.0999999996</v>
      </c>
      <c r="OM40" s="1">
        <v>8.7700032972242992E-3</v>
      </c>
      <c r="ON40" s="1"/>
      <c r="OO40" s="22">
        <v>7161</v>
      </c>
      <c r="OP40" s="1" t="s">
        <v>51</v>
      </c>
      <c r="OQ40" s="1">
        <v>2020</v>
      </c>
      <c r="OR40" s="1" t="s">
        <v>59</v>
      </c>
      <c r="OS40" s="1">
        <v>91756.2</v>
      </c>
      <c r="OT40" s="1">
        <v>4352046.4000000004</v>
      </c>
      <c r="OU40" s="1">
        <v>2.1083460874865598E-2</v>
      </c>
      <c r="OV40" s="1"/>
      <c r="OW40" s="22">
        <v>8357</v>
      </c>
      <c r="OX40" s="1" t="s">
        <v>57</v>
      </c>
      <c r="OY40" s="1">
        <v>2020</v>
      </c>
      <c r="OZ40" s="1" t="s">
        <v>59</v>
      </c>
      <c r="PA40" s="1">
        <v>203835</v>
      </c>
      <c r="PB40" s="1">
        <v>11082248.733333331</v>
      </c>
      <c r="PC40" s="1">
        <v>1.83929277265635E-2</v>
      </c>
      <c r="PD40" s="1"/>
      <c r="PE40" s="22">
        <v>8403</v>
      </c>
      <c r="PF40" s="1" t="s">
        <v>17</v>
      </c>
      <c r="PG40" s="1">
        <v>2021</v>
      </c>
      <c r="PH40" s="1" t="s">
        <v>59</v>
      </c>
      <c r="PI40" s="1">
        <v>67955.695956947922</v>
      </c>
      <c r="PJ40" s="1">
        <v>4622999.2247741111</v>
      </c>
      <c r="PK40" s="1">
        <v>1.4699482446975399E-2</v>
      </c>
      <c r="PL40" s="1"/>
      <c r="PM40" s="22">
        <v>9323</v>
      </c>
      <c r="PN40" s="1" t="s">
        <v>61</v>
      </c>
      <c r="PO40" s="1">
        <v>2021</v>
      </c>
      <c r="PP40" s="1" t="s">
        <v>59</v>
      </c>
      <c r="PQ40" s="1">
        <v>961754.74640654086</v>
      </c>
      <c r="PR40" s="1">
        <v>52589638.782026872</v>
      </c>
      <c r="PS40" s="1">
        <v>1.8287913145644801E-2</v>
      </c>
      <c r="PT40" s="1"/>
      <c r="PU40" s="22">
        <v>10243</v>
      </c>
      <c r="PV40" s="1" t="s">
        <v>44</v>
      </c>
      <c r="PW40" s="1">
        <v>2021</v>
      </c>
      <c r="PX40" s="1" t="s">
        <v>59</v>
      </c>
      <c r="PY40" s="1">
        <v>103032.9611803701</v>
      </c>
      <c r="PZ40" s="1">
        <v>6941447.2808129201</v>
      </c>
      <c r="QA40" s="1">
        <v>1.4843152589398299E-2</v>
      </c>
      <c r="QB40" s="1"/>
      <c r="QC40" s="22">
        <v>11163</v>
      </c>
      <c r="QD40" s="1" t="s">
        <v>38</v>
      </c>
      <c r="QE40" s="1">
        <v>2021</v>
      </c>
      <c r="QF40" s="1" t="s">
        <v>59</v>
      </c>
      <c r="QG40" s="1">
        <v>102429.90601941889</v>
      </c>
      <c r="QH40" s="1">
        <v>6710748.8614170318</v>
      </c>
      <c r="QI40" s="1">
        <v>1.52635582309349E-2</v>
      </c>
      <c r="QJ40" s="1"/>
      <c r="QK40" s="22">
        <v>12083</v>
      </c>
      <c r="QL40" s="1" t="s">
        <v>31</v>
      </c>
      <c r="QM40" s="1">
        <v>2021</v>
      </c>
      <c r="QN40" s="1" t="s">
        <v>59</v>
      </c>
      <c r="QO40" s="1">
        <v>89595.524435679035</v>
      </c>
      <c r="QP40" s="1">
        <v>10216133.49495957</v>
      </c>
      <c r="QQ40" s="1">
        <v>8.7700032972242992E-3</v>
      </c>
      <c r="QR40" s="1"/>
      <c r="QS40" s="22">
        <v>13003</v>
      </c>
      <c r="QT40" s="1" t="s">
        <v>51</v>
      </c>
      <c r="QU40" s="1">
        <v>2021</v>
      </c>
      <c r="QV40" s="1" t="s">
        <v>59</v>
      </c>
      <c r="QW40" s="1">
        <v>104827.3264212465</v>
      </c>
      <c r="QX40" s="1">
        <v>4972017.0252605537</v>
      </c>
      <c r="QY40" s="1">
        <v>2.1083460874865598E-2</v>
      </c>
      <c r="QZ40" s="1"/>
      <c r="RA40" s="22">
        <v>13923</v>
      </c>
      <c r="RB40" s="1" t="s">
        <v>57</v>
      </c>
      <c r="RC40" s="1">
        <v>2021</v>
      </c>
      <c r="RD40" s="1" t="s">
        <v>59</v>
      </c>
      <c r="RE40" s="1">
        <v>203233.26353809889</v>
      </c>
      <c r="RF40" s="1">
        <v>11049533.09007922</v>
      </c>
      <c r="RG40" s="1">
        <v>1.83929277265635E-2</v>
      </c>
      <c r="RH40" s="1"/>
      <c r="RI40" s="22">
        <v>8449</v>
      </c>
      <c r="RJ40" s="1" t="s">
        <v>17</v>
      </c>
      <c r="RK40" s="1">
        <v>2022</v>
      </c>
      <c r="RL40" s="1" t="s">
        <v>59</v>
      </c>
      <c r="RM40" s="1">
        <v>73601.813695278979</v>
      </c>
      <c r="RN40" s="1">
        <v>5007102.3902221443</v>
      </c>
      <c r="RO40" s="1">
        <v>1.4699482446975399E-2</v>
      </c>
      <c r="RP40" s="1"/>
      <c r="RQ40" s="22">
        <v>9369</v>
      </c>
      <c r="RR40" s="1" t="s">
        <v>61</v>
      </c>
      <c r="RS40" s="1">
        <v>2022</v>
      </c>
      <c r="RT40" s="1" t="s">
        <v>59</v>
      </c>
      <c r="RU40" s="1">
        <v>1056207.4351941741</v>
      </c>
      <c r="RV40" s="1">
        <v>57754399.13688051</v>
      </c>
      <c r="RW40" s="1">
        <v>1.8287913145644801E-2</v>
      </c>
      <c r="RX40" s="1"/>
      <c r="RY40" s="22">
        <v>10289</v>
      </c>
      <c r="RZ40" s="1" t="s">
        <v>44</v>
      </c>
      <c r="SA40" s="1">
        <v>2022</v>
      </c>
      <c r="SB40" s="1" t="s">
        <v>59</v>
      </c>
      <c r="SC40" s="1">
        <v>102073.2099926573</v>
      </c>
      <c r="SD40" s="1">
        <v>6876787.7563667288</v>
      </c>
      <c r="SE40" s="1">
        <v>1.4843152589398299E-2</v>
      </c>
      <c r="SF40" s="1"/>
      <c r="SG40" s="22">
        <v>11209</v>
      </c>
      <c r="SH40" s="1" t="s">
        <v>38</v>
      </c>
      <c r="SI40" s="1">
        <v>2022</v>
      </c>
      <c r="SJ40" s="1" t="s">
        <v>59</v>
      </c>
      <c r="SK40" s="1">
        <v>96555.369990898558</v>
      </c>
      <c r="SL40" s="1">
        <v>6325875.5612572851</v>
      </c>
      <c r="SM40" s="1">
        <v>1.52635582309349E-2</v>
      </c>
      <c r="SN40" s="1"/>
      <c r="SO40" s="22">
        <v>12129</v>
      </c>
      <c r="SP40" s="1" t="s">
        <v>31</v>
      </c>
      <c r="SQ40" s="1">
        <v>2022</v>
      </c>
      <c r="SR40" s="1" t="s">
        <v>59</v>
      </c>
      <c r="SS40" s="1">
        <v>85789.831782626134</v>
      </c>
      <c r="ST40" s="1">
        <v>9782189.227885304</v>
      </c>
      <c r="SU40" s="1">
        <v>8.7700032972242992E-3</v>
      </c>
      <c r="SV40" s="1"/>
      <c r="SW40" s="22">
        <v>13049</v>
      </c>
      <c r="SX40" s="1" t="s">
        <v>51</v>
      </c>
      <c r="SY40" s="1">
        <v>2022</v>
      </c>
      <c r="SZ40" s="1" t="s">
        <v>59</v>
      </c>
      <c r="TA40" s="1">
        <v>101212.839837901</v>
      </c>
      <c r="TB40" s="1">
        <v>4800579.963537232</v>
      </c>
      <c r="TC40" s="1">
        <v>2.1083460874865598E-2</v>
      </c>
      <c r="TD40" s="1"/>
      <c r="TE40" s="22">
        <v>13969</v>
      </c>
      <c r="TF40" s="1" t="s">
        <v>57</v>
      </c>
      <c r="TG40" s="1">
        <v>2022</v>
      </c>
      <c r="TH40" s="1" t="s">
        <v>59</v>
      </c>
      <c r="TI40" s="1">
        <v>171908.68628649769</v>
      </c>
      <c r="TJ40" s="1">
        <v>9346455.8140041605</v>
      </c>
      <c r="TK40" s="1">
        <v>1.83929277265635E-2</v>
      </c>
      <c r="TL40" s="1"/>
      <c r="TM40" s="22">
        <v>8495</v>
      </c>
      <c r="TN40" s="1" t="s">
        <v>17</v>
      </c>
      <c r="TO40" s="1">
        <v>2023</v>
      </c>
      <c r="TP40" s="1" t="s">
        <v>59</v>
      </c>
      <c r="TQ40" s="1">
        <v>73028.230229271052</v>
      </c>
      <c r="TR40" s="1">
        <v>4968081.7329930915</v>
      </c>
      <c r="TS40" s="1">
        <v>1.4699482446975399E-2</v>
      </c>
      <c r="TT40" s="1"/>
      <c r="TU40" s="22">
        <v>9415</v>
      </c>
      <c r="TV40" s="1" t="s">
        <v>61</v>
      </c>
      <c r="TW40" s="1">
        <v>2023</v>
      </c>
      <c r="TX40" s="1" t="s">
        <v>59</v>
      </c>
      <c r="TY40" s="1">
        <v>1125809.283258948</v>
      </c>
      <c r="TZ40" s="1">
        <v>61560292.543660469</v>
      </c>
      <c r="UA40" s="1">
        <v>1.8287913145644801E-2</v>
      </c>
      <c r="UB40" s="1"/>
      <c r="UC40" s="22">
        <v>10335</v>
      </c>
      <c r="UD40" s="1" t="s">
        <v>44</v>
      </c>
      <c r="UE40" s="1">
        <v>2023</v>
      </c>
      <c r="UF40" s="1" t="s">
        <v>59</v>
      </c>
      <c r="UG40" s="1">
        <v>110458.5770978716</v>
      </c>
      <c r="UH40" s="1">
        <v>7441719.4347760417</v>
      </c>
      <c r="UI40" s="1">
        <v>1.4843152589398299E-2</v>
      </c>
      <c r="UJ40" s="1"/>
      <c r="UK40" s="22">
        <v>11255</v>
      </c>
      <c r="UL40" s="1" t="s">
        <v>38</v>
      </c>
      <c r="UM40" s="1">
        <v>2023</v>
      </c>
      <c r="UN40" s="1" t="s">
        <v>59</v>
      </c>
      <c r="UO40" s="1">
        <v>105378.7414795708</v>
      </c>
      <c r="UP40" s="1">
        <v>6903943.3587640161</v>
      </c>
      <c r="UQ40" s="1">
        <v>1.52635582309349E-2</v>
      </c>
      <c r="UR40" s="1"/>
      <c r="US40" s="22">
        <v>12175</v>
      </c>
      <c r="UT40" s="1" t="s">
        <v>31</v>
      </c>
      <c r="UU40" s="1">
        <v>2023</v>
      </c>
      <c r="UV40" s="1" t="s">
        <v>59</v>
      </c>
      <c r="UW40" s="1">
        <v>93250.802598383874</v>
      </c>
      <c r="UX40" s="1">
        <v>10632926.743356841</v>
      </c>
      <c r="UY40" s="1">
        <v>8.7700032972242992E-3</v>
      </c>
      <c r="UZ40" s="1"/>
      <c r="VA40" s="22">
        <v>13095</v>
      </c>
      <c r="VB40" s="1" t="s">
        <v>51</v>
      </c>
      <c r="VC40" s="1">
        <v>2023</v>
      </c>
      <c r="VD40" s="1" t="s">
        <v>59</v>
      </c>
      <c r="VE40" s="1">
        <v>110859.4879537396</v>
      </c>
      <c r="VF40" s="1">
        <v>5258125.7228930313</v>
      </c>
      <c r="VG40" s="1">
        <v>2.1083460874865598E-2</v>
      </c>
      <c r="VH40" s="1"/>
      <c r="VI40" s="22">
        <v>14015</v>
      </c>
      <c r="VJ40" s="1" t="s">
        <v>57</v>
      </c>
      <c r="VK40" s="1">
        <v>2023</v>
      </c>
      <c r="VL40" s="1" t="s">
        <v>59</v>
      </c>
      <c r="VM40" s="1">
        <v>169920.7780956733</v>
      </c>
      <c r="VN40" s="1">
        <v>9238375.7834414635</v>
      </c>
      <c r="VO40" s="1">
        <v>1.83929277265635E-2</v>
      </c>
      <c r="VP40" s="1"/>
      <c r="VQ40" s="22">
        <v>8541</v>
      </c>
      <c r="VR40" s="1" t="s">
        <v>17</v>
      </c>
      <c r="VS40" s="1">
        <v>2024</v>
      </c>
      <c r="VT40" s="1" t="s">
        <v>59</v>
      </c>
      <c r="VU40" s="1">
        <v>75310.13141126273</v>
      </c>
      <c r="VV40" s="1">
        <v>5123318.5714479852</v>
      </c>
      <c r="VW40" s="1">
        <v>1.4699482446975399E-2</v>
      </c>
      <c r="VX40" s="1"/>
      <c r="VY40" s="22">
        <v>9461</v>
      </c>
      <c r="VZ40" s="1" t="s">
        <v>61</v>
      </c>
      <c r="WA40" s="1">
        <v>2024</v>
      </c>
      <c r="WB40" s="1" t="s">
        <v>59</v>
      </c>
      <c r="WC40" s="1">
        <v>1185274.230123485</v>
      </c>
      <c r="WD40" s="1">
        <v>64811890.820126347</v>
      </c>
      <c r="WE40" s="1">
        <v>1.8287913145644801E-2</v>
      </c>
      <c r="WF40" s="1"/>
      <c r="WG40" s="22">
        <v>10381</v>
      </c>
      <c r="WH40" s="1" t="s">
        <v>44</v>
      </c>
      <c r="WI40" s="1">
        <v>2024</v>
      </c>
      <c r="WJ40" s="1" t="s">
        <v>59</v>
      </c>
      <c r="WK40" s="1">
        <v>119438.87193727271</v>
      </c>
      <c r="WL40" s="1">
        <v>8046732.0684004631</v>
      </c>
      <c r="WM40" s="1">
        <v>1.4843152589398299E-2</v>
      </c>
      <c r="WN40" s="1"/>
      <c r="WO40" s="22">
        <v>11301</v>
      </c>
      <c r="WP40" s="1" t="s">
        <v>38</v>
      </c>
      <c r="WQ40" s="1">
        <v>2024</v>
      </c>
      <c r="WR40" s="1" t="s">
        <v>59</v>
      </c>
      <c r="WS40" s="1">
        <v>109185.639717062</v>
      </c>
      <c r="WT40" s="1">
        <v>7153354.2877160665</v>
      </c>
      <c r="WU40" s="1">
        <v>1.52635582309349E-2</v>
      </c>
      <c r="WV40" s="1"/>
      <c r="WW40" s="22">
        <v>12221</v>
      </c>
      <c r="WX40" s="1" t="s">
        <v>31</v>
      </c>
      <c r="WY40" s="1">
        <v>2024</v>
      </c>
      <c r="WZ40" s="1" t="s">
        <v>59</v>
      </c>
      <c r="XA40" s="1">
        <v>96016.574795564637</v>
      </c>
      <c r="XB40" s="1">
        <v>10948294.03609846</v>
      </c>
      <c r="XC40" s="1">
        <v>8.7700032972242992E-3</v>
      </c>
      <c r="XD40" s="1"/>
      <c r="XE40" s="22">
        <v>13141</v>
      </c>
      <c r="XF40" s="1" t="s">
        <v>51</v>
      </c>
      <c r="XG40" s="1">
        <v>2024</v>
      </c>
      <c r="XH40" s="1" t="s">
        <v>59</v>
      </c>
      <c r="XI40" s="1">
        <v>114138.2130737933</v>
      </c>
      <c r="XJ40" s="1">
        <v>5413637.436055948</v>
      </c>
      <c r="XK40" s="1">
        <v>2.1083460874865598E-2</v>
      </c>
      <c r="XL40" s="1"/>
      <c r="XM40" s="22">
        <v>14061</v>
      </c>
      <c r="XN40" s="1" t="s">
        <v>57</v>
      </c>
      <c r="XO40" s="1">
        <v>2024</v>
      </c>
      <c r="XP40" s="1" t="s">
        <v>59</v>
      </c>
      <c r="XQ40" s="1">
        <v>162380.52012536419</v>
      </c>
      <c r="XR40" s="1">
        <v>8828421.583522588</v>
      </c>
      <c r="XS40" s="1">
        <v>1.83929277265635E-2</v>
      </c>
      <c r="XT40" s="1"/>
    </row>
    <row r="41" spans="1:644" x14ac:dyDescent="0.25">
      <c r="A41" s="2">
        <v>32</v>
      </c>
      <c r="B41" s="1" t="s">
        <v>17</v>
      </c>
      <c r="C41" s="1" t="s">
        <v>59</v>
      </c>
      <c r="D41" s="1">
        <v>1.8059541673878451E-2</v>
      </c>
      <c r="E41" s="1">
        <v>1.9036442454008339E-2</v>
      </c>
      <c r="F41" s="1">
        <v>2.014652046380919E-2</v>
      </c>
      <c r="G41" s="1">
        <v>2.0166111273234349E-2</v>
      </c>
      <c r="H41" s="1">
        <v>2.0194277629733619E-2</v>
      </c>
      <c r="I41" s="1">
        <v>2.034076567101388E-2</v>
      </c>
      <c r="J41" s="1">
        <v>1.469948244697546E-2</v>
      </c>
      <c r="K41" s="1">
        <v>1.469948244697543E-2</v>
      </c>
      <c r="L41" s="1">
        <v>1.469948244697543E-2</v>
      </c>
      <c r="M41" s="1">
        <v>1.469948244697543E-2</v>
      </c>
      <c r="N41" s="1">
        <v>1.469948244697543E-2</v>
      </c>
      <c r="O41" s="1">
        <v>1.740373376368682E-2</v>
      </c>
      <c r="P41" s="1"/>
      <c r="Q41" s="2">
        <v>263</v>
      </c>
      <c r="R41" s="1" t="s">
        <v>57</v>
      </c>
      <c r="S41" s="1" t="s">
        <v>23</v>
      </c>
      <c r="T41" s="1">
        <v>1.0348690228890621E-2</v>
      </c>
      <c r="U41" s="1"/>
      <c r="AC41" s="22">
        <v>906</v>
      </c>
      <c r="AD41" s="18" t="s">
        <v>17</v>
      </c>
      <c r="AE41" s="18">
        <v>2014</v>
      </c>
      <c r="AF41" s="18" t="s">
        <v>23</v>
      </c>
      <c r="AG41" s="18">
        <v>35068.199999999997</v>
      </c>
      <c r="AH41" s="18">
        <v>4088215.6</v>
      </c>
      <c r="AI41" s="18">
        <v>8.5778744154295008E-3</v>
      </c>
      <c r="AJ41" s="1"/>
      <c r="AK41" s="22">
        <v>2102</v>
      </c>
      <c r="AL41" s="1" t="s">
        <v>61</v>
      </c>
      <c r="AM41" s="1">
        <v>2014</v>
      </c>
      <c r="AN41" s="1" t="s">
        <v>23</v>
      </c>
      <c r="AO41" s="1">
        <v>639363.5</v>
      </c>
      <c r="AP41" s="1">
        <v>40350049.200000003</v>
      </c>
      <c r="AQ41" s="1">
        <v>1.5845420580057099E-2</v>
      </c>
      <c r="AR41" s="1"/>
      <c r="AS41" s="22">
        <v>3298</v>
      </c>
      <c r="AT41" s="1" t="s">
        <v>44</v>
      </c>
      <c r="AU41" s="1">
        <v>2014</v>
      </c>
      <c r="AV41" s="1" t="s">
        <v>23</v>
      </c>
      <c r="AW41" s="1">
        <v>89826</v>
      </c>
      <c r="AX41" s="1">
        <v>6735816.8000000007</v>
      </c>
      <c r="AY41" s="1">
        <v>1.3335576466390799E-2</v>
      </c>
      <c r="AZ41" s="1"/>
      <c r="BA41" s="22">
        <v>4494</v>
      </c>
      <c r="BB41" s="1" t="s">
        <v>38</v>
      </c>
      <c r="BC41" s="1">
        <v>2014</v>
      </c>
      <c r="BD41" s="1" t="s">
        <v>23</v>
      </c>
      <c r="BE41" s="1">
        <v>68798.399999999994</v>
      </c>
      <c r="BF41" s="1">
        <v>6538596.7000000002</v>
      </c>
      <c r="BG41" s="1">
        <v>1.05218907292447E-2</v>
      </c>
      <c r="BH41" s="1"/>
      <c r="BI41" s="22">
        <v>5690</v>
      </c>
      <c r="BJ41" s="1" t="s">
        <v>31</v>
      </c>
      <c r="BK41" s="1">
        <v>2014</v>
      </c>
      <c r="BL41" s="1" t="s">
        <v>23</v>
      </c>
      <c r="BM41" s="1">
        <v>86112.5</v>
      </c>
      <c r="BN41" s="1">
        <v>9155477.5</v>
      </c>
      <c r="BO41" s="1">
        <v>9.4055716919187998E-3</v>
      </c>
      <c r="BP41" s="1"/>
      <c r="BQ41" s="22">
        <v>6886</v>
      </c>
      <c r="BR41" s="1" t="s">
        <v>51</v>
      </c>
      <c r="BS41" s="1">
        <v>2014</v>
      </c>
      <c r="BT41" s="1" t="s">
        <v>23</v>
      </c>
      <c r="BU41" s="1">
        <v>31345.200000000001</v>
      </c>
      <c r="BV41" s="1">
        <v>4981875.5</v>
      </c>
      <c r="BW41" s="1">
        <v>6.2918473173405997E-3</v>
      </c>
      <c r="BX41" s="1"/>
      <c r="BY41" s="22">
        <v>8082</v>
      </c>
      <c r="BZ41" s="1" t="s">
        <v>57</v>
      </c>
      <c r="CA41" s="1">
        <v>2014</v>
      </c>
      <c r="CB41" s="1" t="s">
        <v>23</v>
      </c>
      <c r="CC41" s="1">
        <v>104604.1</v>
      </c>
      <c r="CD41" s="1">
        <v>11026913.800000001</v>
      </c>
      <c r="CE41" s="1">
        <v>9.4862535336042008E-3</v>
      </c>
      <c r="CF41" s="1"/>
      <c r="CG41" s="22">
        <v>952</v>
      </c>
      <c r="CH41" s="1" t="s">
        <v>17</v>
      </c>
      <c r="CI41" s="1">
        <v>2015</v>
      </c>
      <c r="CJ41" s="1" t="s">
        <v>23</v>
      </c>
      <c r="CK41" s="1">
        <v>30027.200000000001</v>
      </c>
      <c r="CL41" s="1">
        <v>3555133.8</v>
      </c>
      <c r="CM41" s="1">
        <v>8.4461518719773001E-3</v>
      </c>
      <c r="CN41" s="1"/>
      <c r="CO41" s="22">
        <v>2148</v>
      </c>
      <c r="CP41" s="1" t="s">
        <v>61</v>
      </c>
      <c r="CQ41" s="1">
        <v>2015</v>
      </c>
      <c r="CR41" s="1" t="s">
        <v>23</v>
      </c>
      <c r="CS41" s="1">
        <v>646516.5</v>
      </c>
      <c r="CT41" s="1">
        <v>41208556.399999999</v>
      </c>
      <c r="CU41" s="1">
        <v>1.56888897957124E-2</v>
      </c>
      <c r="CV41" s="1"/>
      <c r="CW41" s="22">
        <v>3344</v>
      </c>
      <c r="CX41" s="1" t="s">
        <v>44</v>
      </c>
      <c r="CY41" s="1">
        <v>2015</v>
      </c>
      <c r="CZ41" s="1" t="s">
        <v>23</v>
      </c>
      <c r="DA41" s="1">
        <v>88821.9</v>
      </c>
      <c r="DB41" s="1">
        <v>6404349.4000000004</v>
      </c>
      <c r="DC41" s="1">
        <v>1.38689965915975E-2</v>
      </c>
      <c r="DD41" s="1"/>
      <c r="DE41" s="22">
        <v>4540</v>
      </c>
      <c r="DF41" s="1" t="s">
        <v>38</v>
      </c>
      <c r="DG41" s="1">
        <v>2015</v>
      </c>
      <c r="DH41" s="1" t="s">
        <v>23</v>
      </c>
      <c r="DI41" s="1">
        <v>57169.1</v>
      </c>
      <c r="DJ41" s="1">
        <v>5531517.5999999996</v>
      </c>
      <c r="DK41" s="1">
        <v>1.03351564858078E-2</v>
      </c>
      <c r="DL41" s="1"/>
      <c r="DM41" s="22">
        <v>5736</v>
      </c>
      <c r="DN41" s="1" t="s">
        <v>31</v>
      </c>
      <c r="DO41" s="1">
        <v>2015</v>
      </c>
      <c r="DP41" s="1" t="s">
        <v>23</v>
      </c>
      <c r="DQ41" s="1">
        <v>73342.899999999994</v>
      </c>
      <c r="DR41" s="1">
        <v>7894528</v>
      </c>
      <c r="DS41" s="1">
        <v>9.2903464272974003E-3</v>
      </c>
      <c r="DT41" s="1"/>
      <c r="DU41" s="22">
        <v>6932</v>
      </c>
      <c r="DV41" s="1" t="s">
        <v>51</v>
      </c>
      <c r="DW41" s="1">
        <v>2015</v>
      </c>
      <c r="DX41" s="1" t="s">
        <v>23</v>
      </c>
      <c r="DY41" s="1">
        <v>26590.1</v>
      </c>
      <c r="DZ41" s="1">
        <v>4209274.5999999996</v>
      </c>
      <c r="EA41" s="1">
        <v>6.3170266914874002E-3</v>
      </c>
      <c r="EB41" s="1"/>
      <c r="EC41" s="22">
        <v>8128</v>
      </c>
      <c r="ED41" s="1" t="s">
        <v>57</v>
      </c>
      <c r="EE41" s="1">
        <v>2015</v>
      </c>
      <c r="EF41" s="1" t="s">
        <v>23</v>
      </c>
      <c r="EG41" s="1">
        <v>96372.1</v>
      </c>
      <c r="EH41" s="1">
        <v>9729477.0999999996</v>
      </c>
      <c r="EI41" s="1">
        <v>9.9051674626994997E-3</v>
      </c>
      <c r="EJ41" s="1"/>
      <c r="EK41" s="22">
        <v>998</v>
      </c>
      <c r="EL41" s="1" t="s">
        <v>17</v>
      </c>
      <c r="EM41" s="1">
        <v>2016</v>
      </c>
      <c r="EN41" s="1" t="s">
        <v>23</v>
      </c>
      <c r="EO41" s="1">
        <v>29933.8</v>
      </c>
      <c r="EP41" s="1">
        <v>3463407</v>
      </c>
      <c r="EQ41" s="1">
        <v>8.6428767973270003E-3</v>
      </c>
      <c r="ER41" s="1"/>
      <c r="ES41" s="22">
        <v>2194</v>
      </c>
      <c r="ET41" s="1" t="s">
        <v>61</v>
      </c>
      <c r="EU41" s="1">
        <v>2016</v>
      </c>
      <c r="EV41" s="1" t="s">
        <v>23</v>
      </c>
      <c r="EW41" s="1">
        <v>684241.7</v>
      </c>
      <c r="EX41" s="1">
        <v>42141395.200000003</v>
      </c>
      <c r="EY41" s="1">
        <v>1.6236806986399899E-2</v>
      </c>
      <c r="EZ41" s="1"/>
      <c r="FA41" s="22">
        <v>3390</v>
      </c>
      <c r="FB41" s="1" t="s">
        <v>44</v>
      </c>
      <c r="FC41" s="1">
        <v>2016</v>
      </c>
      <c r="FD41" s="1" t="s">
        <v>23</v>
      </c>
      <c r="FE41" s="1">
        <v>83252</v>
      </c>
      <c r="FF41" s="1">
        <v>5868597.7999999998</v>
      </c>
      <c r="FG41" s="1">
        <v>1.4186012202097E-2</v>
      </c>
      <c r="FH41" s="1"/>
      <c r="FI41" s="22">
        <v>4586</v>
      </c>
      <c r="FJ41" s="1" t="s">
        <v>38</v>
      </c>
      <c r="FK41" s="1">
        <v>2016</v>
      </c>
      <c r="FL41" s="1" t="s">
        <v>23</v>
      </c>
      <c r="FM41" s="1">
        <v>58869</v>
      </c>
      <c r="FN41" s="1">
        <v>5582986.5</v>
      </c>
      <c r="FO41" s="1">
        <v>1.0544356501668E-2</v>
      </c>
      <c r="FP41" s="1"/>
      <c r="FQ41" s="22">
        <v>5782</v>
      </c>
      <c r="FR41" s="1" t="s">
        <v>31</v>
      </c>
      <c r="FS41" s="1">
        <v>2016</v>
      </c>
      <c r="FT41" s="1" t="s">
        <v>23</v>
      </c>
      <c r="FU41" s="1">
        <v>75983.199999999997</v>
      </c>
      <c r="FV41" s="1">
        <v>8130820.9000000004</v>
      </c>
      <c r="FW41" s="1">
        <v>9.3450834712149999E-3</v>
      </c>
      <c r="FX41" s="1"/>
      <c r="FY41" s="22">
        <v>6978</v>
      </c>
      <c r="FZ41" s="1" t="s">
        <v>51</v>
      </c>
      <c r="GA41" s="1">
        <v>2016</v>
      </c>
      <c r="GB41" s="1" t="s">
        <v>23</v>
      </c>
      <c r="GC41" s="1">
        <v>27403</v>
      </c>
      <c r="GD41" s="1">
        <v>4230502.5999999996</v>
      </c>
      <c r="GE41" s="1">
        <v>6.4774809498994003E-3</v>
      </c>
      <c r="GF41" s="1"/>
      <c r="GG41" s="22">
        <v>8174</v>
      </c>
      <c r="GH41" s="1" t="s">
        <v>57</v>
      </c>
      <c r="GI41" s="1">
        <v>2016</v>
      </c>
      <c r="GJ41" s="1" t="s">
        <v>23</v>
      </c>
      <c r="GK41" s="1">
        <v>105567.7</v>
      </c>
      <c r="GL41" s="1">
        <v>10773649.5</v>
      </c>
      <c r="GM41" s="1">
        <v>9.7986944906643999E-3</v>
      </c>
      <c r="GN41" s="1"/>
      <c r="GO41" s="22">
        <v>1044</v>
      </c>
      <c r="GP41" s="1" t="s">
        <v>17</v>
      </c>
      <c r="GQ41" s="1">
        <v>2017</v>
      </c>
      <c r="GR41" s="1" t="s">
        <v>23</v>
      </c>
      <c r="GS41" s="1">
        <v>32769.199999999997</v>
      </c>
      <c r="GT41" s="1">
        <v>3719735.5</v>
      </c>
      <c r="GU41" s="1">
        <v>8.8095511092119005E-3</v>
      </c>
      <c r="GV41" s="1"/>
      <c r="GW41" s="22">
        <v>2240</v>
      </c>
      <c r="GX41" s="1" t="s">
        <v>61</v>
      </c>
      <c r="GY41" s="1">
        <v>2017</v>
      </c>
      <c r="GZ41" s="1" t="s">
        <v>23</v>
      </c>
      <c r="HA41" s="1">
        <v>715306.3</v>
      </c>
      <c r="HB41" s="1">
        <v>44107004.100000001</v>
      </c>
      <c r="HC41" s="1">
        <v>1.6217521788109798E-2</v>
      </c>
      <c r="HD41" s="1"/>
      <c r="HE41" s="22">
        <v>3436</v>
      </c>
      <c r="HF41" s="1" t="s">
        <v>44</v>
      </c>
      <c r="HG41" s="1">
        <v>2017</v>
      </c>
      <c r="HH41" s="1" t="s">
        <v>23</v>
      </c>
      <c r="HI41" s="1">
        <v>85006.3</v>
      </c>
      <c r="HJ41" s="1">
        <v>5855367.5</v>
      </c>
      <c r="HK41" s="1">
        <v>1.4517671179477601E-2</v>
      </c>
      <c r="HL41" s="1"/>
      <c r="HM41" s="22">
        <v>4632</v>
      </c>
      <c r="HN41" s="1" t="s">
        <v>38</v>
      </c>
      <c r="HO41" s="1">
        <v>2017</v>
      </c>
      <c r="HP41" s="1" t="s">
        <v>23</v>
      </c>
      <c r="HQ41" s="1">
        <v>62107.6</v>
      </c>
      <c r="HR41" s="1">
        <v>5923445.7000000002</v>
      </c>
      <c r="HS41" s="1">
        <v>1.04850458914479E-2</v>
      </c>
      <c r="HT41" s="1"/>
      <c r="HU41" s="22">
        <v>5828</v>
      </c>
      <c r="HV41" s="1" t="s">
        <v>31</v>
      </c>
      <c r="HW41" s="1">
        <v>2017</v>
      </c>
      <c r="HX41" s="1" t="s">
        <v>23</v>
      </c>
      <c r="HY41" s="1">
        <v>80145.8</v>
      </c>
      <c r="HZ41" s="1">
        <v>8686095.3000000007</v>
      </c>
      <c r="IA41" s="1">
        <v>9.2269077453018006E-3</v>
      </c>
      <c r="IB41" s="1"/>
      <c r="IC41" s="22">
        <v>7024</v>
      </c>
      <c r="ID41" s="1" t="s">
        <v>51</v>
      </c>
      <c r="IE41" s="1">
        <v>2017</v>
      </c>
      <c r="IF41" s="1" t="s">
        <v>23</v>
      </c>
      <c r="IG41" s="1">
        <v>27205.9</v>
      </c>
      <c r="IH41" s="1">
        <v>4472691.8</v>
      </c>
      <c r="II41" s="1">
        <v>6.0826681596973997E-3</v>
      </c>
      <c r="IJ41" s="1"/>
      <c r="IK41" s="22">
        <v>8220</v>
      </c>
      <c r="IL41" s="1" t="s">
        <v>57</v>
      </c>
      <c r="IM41" s="1">
        <v>2017</v>
      </c>
      <c r="IN41" s="1" t="s">
        <v>23</v>
      </c>
      <c r="IO41" s="1">
        <v>101291.4</v>
      </c>
      <c r="IP41" s="1">
        <v>10750260.5</v>
      </c>
      <c r="IQ41" s="1">
        <v>9.4222274892780001E-3</v>
      </c>
      <c r="IR41" s="1"/>
      <c r="IS41" s="22">
        <v>1090</v>
      </c>
      <c r="IT41" s="1" t="s">
        <v>17</v>
      </c>
      <c r="IU41" s="1">
        <v>2018</v>
      </c>
      <c r="IV41" s="1" t="s">
        <v>23</v>
      </c>
      <c r="IW41" s="1">
        <v>34432.1</v>
      </c>
      <c r="IX41" s="1">
        <v>3904165.4</v>
      </c>
      <c r="IY41" s="1">
        <v>8.8193240993323999E-3</v>
      </c>
      <c r="IZ41" s="1"/>
      <c r="JA41" s="22">
        <v>2286</v>
      </c>
      <c r="JB41" s="1" t="s">
        <v>61</v>
      </c>
      <c r="JC41" s="1">
        <v>2018</v>
      </c>
      <c r="JD41" s="1" t="s">
        <v>23</v>
      </c>
      <c r="JE41" s="1">
        <v>769847.9</v>
      </c>
      <c r="JF41" s="1">
        <v>46669099.200000003</v>
      </c>
      <c r="JG41" s="1">
        <v>1.6495880854713301E-2</v>
      </c>
      <c r="JH41" s="1"/>
      <c r="JI41" s="22">
        <v>3482</v>
      </c>
      <c r="JJ41" s="1" t="s">
        <v>44</v>
      </c>
      <c r="JK41" s="1">
        <v>2018</v>
      </c>
      <c r="JL41" s="1" t="s">
        <v>23</v>
      </c>
      <c r="JM41" s="1">
        <v>91595.7</v>
      </c>
      <c r="JN41" s="1">
        <v>6336724.7000000002</v>
      </c>
      <c r="JO41" s="1">
        <v>1.44547387390839E-2</v>
      </c>
      <c r="JP41" s="1"/>
      <c r="JQ41" s="22">
        <v>4678</v>
      </c>
      <c r="JR41" s="1" t="s">
        <v>38</v>
      </c>
      <c r="JS41" s="1">
        <v>2018</v>
      </c>
      <c r="JT41" s="1" t="s">
        <v>23</v>
      </c>
      <c r="JU41" s="1">
        <v>66999.3</v>
      </c>
      <c r="JV41" s="1">
        <v>6390706</v>
      </c>
      <c r="JW41" s="1">
        <v>1.04838651629413E-2</v>
      </c>
      <c r="JX41" s="1"/>
      <c r="JY41" s="22">
        <v>5874</v>
      </c>
      <c r="JZ41" s="1" t="s">
        <v>31</v>
      </c>
      <c r="KA41" s="1">
        <v>2018</v>
      </c>
      <c r="KB41" s="1" t="s">
        <v>23</v>
      </c>
      <c r="KC41" s="1">
        <v>85458.1</v>
      </c>
      <c r="KD41" s="1">
        <v>9443218.3000000007</v>
      </c>
      <c r="KE41" s="1">
        <v>9.0496795991679996E-3</v>
      </c>
      <c r="KF41" s="1"/>
      <c r="KG41" s="22">
        <v>7070</v>
      </c>
      <c r="KH41" s="1" t="s">
        <v>51</v>
      </c>
      <c r="KI41" s="1">
        <v>2018</v>
      </c>
      <c r="KJ41" s="1" t="s">
        <v>23</v>
      </c>
      <c r="KK41" s="1">
        <v>28663.1</v>
      </c>
      <c r="KL41" s="1">
        <v>4803387.8</v>
      </c>
      <c r="KM41" s="1">
        <v>5.9672675189789996E-3</v>
      </c>
      <c r="KN41" s="1"/>
      <c r="KO41" s="22">
        <v>8266</v>
      </c>
      <c r="KP41" s="1" t="s">
        <v>57</v>
      </c>
      <c r="KQ41" s="1">
        <v>2018</v>
      </c>
      <c r="KR41" s="1" t="s">
        <v>23</v>
      </c>
      <c r="KS41" s="1">
        <v>104165.1</v>
      </c>
      <c r="KT41" s="1">
        <v>11172914.4</v>
      </c>
      <c r="KU41" s="1">
        <v>9.3230017049087E-3</v>
      </c>
      <c r="KV41" s="1"/>
      <c r="KW41" s="22">
        <v>1136</v>
      </c>
      <c r="KX41" s="1" t="s">
        <v>17</v>
      </c>
      <c r="KY41" s="1">
        <v>2019</v>
      </c>
      <c r="KZ41" s="1" t="s">
        <v>23</v>
      </c>
      <c r="LA41" s="1">
        <v>35329.199999999997</v>
      </c>
      <c r="LB41" s="1">
        <v>3955328</v>
      </c>
      <c r="LC41" s="1">
        <v>8.9320531698002994E-3</v>
      </c>
      <c r="LD41" s="1"/>
      <c r="LE41" s="22">
        <v>2332</v>
      </c>
      <c r="LF41" s="1" t="s">
        <v>61</v>
      </c>
      <c r="LG41" s="1">
        <v>2019</v>
      </c>
      <c r="LH41" s="1" t="s">
        <v>23</v>
      </c>
      <c r="LI41" s="1">
        <v>805007.9</v>
      </c>
      <c r="LJ41" s="1">
        <v>48356774.5</v>
      </c>
      <c r="LK41" s="1">
        <v>1.6647262112157599E-2</v>
      </c>
      <c r="LL41" s="1"/>
      <c r="LM41" s="22">
        <v>3528</v>
      </c>
      <c r="LN41" s="1" t="s">
        <v>44</v>
      </c>
      <c r="LO41" s="1">
        <v>2019</v>
      </c>
      <c r="LP41" s="1" t="s">
        <v>23</v>
      </c>
      <c r="LQ41" s="1">
        <v>90154.3</v>
      </c>
      <c r="LR41" s="1">
        <v>6269787.0999999996</v>
      </c>
      <c r="LS41" s="1">
        <v>1.43791644855054E-2</v>
      </c>
      <c r="LT41" s="1"/>
      <c r="LU41" s="22">
        <v>4724</v>
      </c>
      <c r="LV41" s="1" t="s">
        <v>38</v>
      </c>
      <c r="LW41" s="1">
        <v>2019</v>
      </c>
      <c r="LX41" s="1" t="s">
        <v>23</v>
      </c>
      <c r="LY41" s="1">
        <v>64135.5</v>
      </c>
      <c r="LZ41" s="1">
        <v>6182094.5</v>
      </c>
      <c r="MA41" s="1">
        <v>1.03743965738472E-2</v>
      </c>
      <c r="MB41" s="1"/>
      <c r="MC41" s="22">
        <v>5920</v>
      </c>
      <c r="MD41" s="1" t="s">
        <v>31</v>
      </c>
      <c r="ME41" s="1">
        <v>2019</v>
      </c>
      <c r="MF41" s="1" t="s">
        <v>23</v>
      </c>
      <c r="MG41" s="1">
        <v>80900.5</v>
      </c>
      <c r="MH41" s="1">
        <v>9237079</v>
      </c>
      <c r="MI41" s="1">
        <v>8.7582340694498002E-3</v>
      </c>
      <c r="MJ41" s="1"/>
      <c r="MK41" s="22">
        <v>7116</v>
      </c>
      <c r="ML41" s="1" t="s">
        <v>51</v>
      </c>
      <c r="MM41" s="1">
        <v>2019</v>
      </c>
      <c r="MN41" s="1" t="s">
        <v>23</v>
      </c>
      <c r="MO41" s="1">
        <v>26698.2</v>
      </c>
      <c r="MP41" s="1">
        <v>4608662</v>
      </c>
      <c r="MQ41" s="1">
        <v>5.7930479605577002E-3</v>
      </c>
      <c r="MR41" s="1"/>
      <c r="MS41" s="22">
        <v>8312</v>
      </c>
      <c r="MT41" s="1" t="s">
        <v>57</v>
      </c>
      <c r="MU41" s="1">
        <v>2019</v>
      </c>
      <c r="MV41" s="1" t="s">
        <v>23</v>
      </c>
      <c r="MW41" s="1">
        <v>106581.3</v>
      </c>
      <c r="MX41" s="1">
        <v>11338077</v>
      </c>
      <c r="MY41" s="1">
        <v>9.4002977753634004E-3</v>
      </c>
      <c r="MZ41" s="1"/>
      <c r="NA41" s="22">
        <v>1182</v>
      </c>
      <c r="NB41" s="1" t="s">
        <v>17</v>
      </c>
      <c r="NC41" s="1">
        <v>2020</v>
      </c>
      <c r="ND41" s="1" t="s">
        <v>23</v>
      </c>
      <c r="NE41" s="1">
        <v>33101.599999999999</v>
      </c>
      <c r="NF41" s="1">
        <v>3784752.3</v>
      </c>
      <c r="NG41" s="1">
        <v>8.7460413195336005E-3</v>
      </c>
      <c r="NH41" s="1"/>
      <c r="NI41" s="22">
        <v>2378</v>
      </c>
      <c r="NJ41" s="1" t="s">
        <v>61</v>
      </c>
      <c r="NK41" s="1">
        <v>2020</v>
      </c>
      <c r="NL41" s="1" t="s">
        <v>23</v>
      </c>
      <c r="NM41" s="1">
        <v>850162.1</v>
      </c>
      <c r="NN41" s="1">
        <v>47421769.399999999</v>
      </c>
      <c r="NO41" s="1">
        <v>1.7927675638353499E-2</v>
      </c>
      <c r="NP41" s="1"/>
      <c r="NQ41" s="22">
        <v>3574</v>
      </c>
      <c r="NR41" s="1" t="s">
        <v>44</v>
      </c>
      <c r="NS41" s="1">
        <v>2020</v>
      </c>
      <c r="NT41" s="1" t="s">
        <v>23</v>
      </c>
      <c r="NU41" s="1">
        <v>82476.899999999994</v>
      </c>
      <c r="NV41" s="1">
        <v>5955345.3666666672</v>
      </c>
      <c r="NW41" s="1">
        <v>1.38492219883066E-2</v>
      </c>
      <c r="NX41" s="1"/>
      <c r="NY41" s="22">
        <v>4770</v>
      </c>
      <c r="NZ41" s="1" t="s">
        <v>38</v>
      </c>
      <c r="OA41" s="1">
        <v>2020</v>
      </c>
      <c r="OB41" s="1" t="s">
        <v>23</v>
      </c>
      <c r="OC41" s="1">
        <v>62783.1</v>
      </c>
      <c r="OD41" s="1">
        <v>5990228.4000000004</v>
      </c>
      <c r="OE41" s="1">
        <v>1.0480919225049901E-2</v>
      </c>
      <c r="OF41" s="1"/>
      <c r="OG41" s="22">
        <v>5966</v>
      </c>
      <c r="OH41" s="1" t="s">
        <v>31</v>
      </c>
      <c r="OI41" s="1">
        <v>2020</v>
      </c>
      <c r="OJ41" s="1" t="s">
        <v>23</v>
      </c>
      <c r="OK41" s="1">
        <v>76594.399999999994</v>
      </c>
      <c r="OL41" s="1">
        <v>9257180.0999999996</v>
      </c>
      <c r="OM41" s="1">
        <v>8.2740531320115007E-3</v>
      </c>
      <c r="ON41" s="1"/>
      <c r="OO41" s="22">
        <v>7162</v>
      </c>
      <c r="OP41" s="1" t="s">
        <v>51</v>
      </c>
      <c r="OQ41" s="1">
        <v>2020</v>
      </c>
      <c r="OR41" s="1" t="s">
        <v>23</v>
      </c>
      <c r="OS41" s="1">
        <v>24199.4</v>
      </c>
      <c r="OT41" s="1">
        <v>4352046.4000000004</v>
      </c>
      <c r="OU41" s="1">
        <v>5.5604646126933997E-3</v>
      </c>
      <c r="OV41" s="1"/>
      <c r="OW41" s="22">
        <v>8358</v>
      </c>
      <c r="OX41" s="1" t="s">
        <v>57</v>
      </c>
      <c r="OY41" s="1">
        <v>2020</v>
      </c>
      <c r="OZ41" s="1" t="s">
        <v>23</v>
      </c>
      <c r="PA41" s="1">
        <v>125229.3</v>
      </c>
      <c r="PB41" s="1">
        <v>11082248.733333331</v>
      </c>
      <c r="PC41" s="1">
        <v>1.12999900122556E-2</v>
      </c>
      <c r="PD41" s="1"/>
      <c r="PE41" s="22">
        <v>8404</v>
      </c>
      <c r="PF41" s="1" t="s">
        <v>17</v>
      </c>
      <c r="PG41" s="1">
        <v>2021</v>
      </c>
      <c r="PH41" s="1" t="s">
        <v>23</v>
      </c>
      <c r="PI41" s="1">
        <v>40432.942240046177</v>
      </c>
      <c r="PJ41" s="1">
        <v>4622999.2247741111</v>
      </c>
      <c r="PK41" s="1">
        <v>8.7460413195336005E-3</v>
      </c>
      <c r="PL41" s="1"/>
      <c r="PM41" s="22">
        <v>9324</v>
      </c>
      <c r="PN41" s="1" t="s">
        <v>61</v>
      </c>
      <c r="PO41" s="1">
        <v>2021</v>
      </c>
      <c r="PP41" s="1" t="s">
        <v>23</v>
      </c>
      <c r="PQ41" s="1">
        <v>942809.98602235364</v>
      </c>
      <c r="PR41" s="1">
        <v>52589638.782026872</v>
      </c>
      <c r="PS41" s="1">
        <v>1.7927675638353499E-2</v>
      </c>
      <c r="PT41" s="1"/>
      <c r="PU41" s="22">
        <v>10244</v>
      </c>
      <c r="PV41" s="1" t="s">
        <v>44</v>
      </c>
      <c r="PW41" s="1">
        <v>2021</v>
      </c>
      <c r="PX41" s="1" t="s">
        <v>23</v>
      </c>
      <c r="PY41" s="1">
        <v>96133.64431210536</v>
      </c>
      <c r="PZ41" s="1">
        <v>6941447.2808129201</v>
      </c>
      <c r="QA41" s="1">
        <v>1.38492219883066E-2</v>
      </c>
      <c r="QB41" s="1"/>
      <c r="QC41" s="22">
        <v>11164</v>
      </c>
      <c r="QD41" s="1" t="s">
        <v>38</v>
      </c>
      <c r="QE41" s="1">
        <v>2021</v>
      </c>
      <c r="QF41" s="1" t="s">
        <v>23</v>
      </c>
      <c r="QG41" s="1">
        <v>70334.816756107495</v>
      </c>
      <c r="QH41" s="1">
        <v>6710748.8614170318</v>
      </c>
      <c r="QI41" s="1">
        <v>1.0480919225049901E-2</v>
      </c>
      <c r="QJ41" s="1"/>
      <c r="QK41" s="22">
        <v>12084</v>
      </c>
      <c r="QL41" s="1" t="s">
        <v>31</v>
      </c>
      <c r="QM41" s="1">
        <v>2021</v>
      </c>
      <c r="QN41" s="1" t="s">
        <v>23</v>
      </c>
      <c r="QO41" s="1">
        <v>84528.831341017838</v>
      </c>
      <c r="QP41" s="1">
        <v>10216133.49495957</v>
      </c>
      <c r="QQ41" s="1">
        <v>8.2740531320115007E-3</v>
      </c>
      <c r="QR41" s="1"/>
      <c r="QS41" s="22">
        <v>13004</v>
      </c>
      <c r="QT41" s="1" t="s">
        <v>51</v>
      </c>
      <c r="QU41" s="1">
        <v>2021</v>
      </c>
      <c r="QV41" s="1" t="s">
        <v>23</v>
      </c>
      <c r="QW41" s="1">
        <v>27646.724722670409</v>
      </c>
      <c r="QX41" s="1">
        <v>4972017.0252605537</v>
      </c>
      <c r="QY41" s="1">
        <v>5.5604646126933997E-3</v>
      </c>
      <c r="QZ41" s="1"/>
      <c r="RA41" s="22">
        <v>13924</v>
      </c>
      <c r="RB41" s="1" t="s">
        <v>57</v>
      </c>
      <c r="RC41" s="1">
        <v>2021</v>
      </c>
      <c r="RD41" s="1" t="s">
        <v>23</v>
      </c>
      <c r="RE41" s="1">
        <v>124859.6135579829</v>
      </c>
      <c r="RF41" s="1">
        <v>11049533.09007922</v>
      </c>
      <c r="RG41" s="1">
        <v>1.12999900122556E-2</v>
      </c>
      <c r="RH41" s="1"/>
      <c r="RI41" s="22">
        <v>8450</v>
      </c>
      <c r="RJ41" s="1" t="s">
        <v>17</v>
      </c>
      <c r="RK41" s="1">
        <v>2022</v>
      </c>
      <c r="RL41" s="1" t="s">
        <v>23</v>
      </c>
      <c r="RM41" s="1">
        <v>43792.324396018332</v>
      </c>
      <c r="RN41" s="1">
        <v>5007102.3902221443</v>
      </c>
      <c r="RO41" s="1">
        <v>8.7460413195336005E-3</v>
      </c>
      <c r="RP41" s="1"/>
      <c r="RQ41" s="22">
        <v>9370</v>
      </c>
      <c r="RR41" s="1" t="s">
        <v>61</v>
      </c>
      <c r="RS41" s="1">
        <v>2022</v>
      </c>
      <c r="RT41" s="1" t="s">
        <v>23</v>
      </c>
      <c r="RU41" s="1">
        <v>1035402.1344139969</v>
      </c>
      <c r="RV41" s="1">
        <v>57754399.13688051</v>
      </c>
      <c r="RW41" s="1">
        <v>1.7927675638353499E-2</v>
      </c>
      <c r="RX41" s="1"/>
      <c r="RY41" s="22">
        <v>10290</v>
      </c>
      <c r="RZ41" s="1" t="s">
        <v>44</v>
      </c>
      <c r="SA41" s="1">
        <v>2022</v>
      </c>
      <c r="SB41" s="1" t="s">
        <v>23</v>
      </c>
      <c r="SC41" s="1">
        <v>95238.160204391723</v>
      </c>
      <c r="SD41" s="1">
        <v>6876787.7563667288</v>
      </c>
      <c r="SE41" s="1">
        <v>1.38492219883066E-2</v>
      </c>
      <c r="SF41" s="1"/>
      <c r="SG41" s="22">
        <v>11210</v>
      </c>
      <c r="SH41" s="1" t="s">
        <v>38</v>
      </c>
      <c r="SI41" s="1">
        <v>2022</v>
      </c>
      <c r="SJ41" s="1" t="s">
        <v>23</v>
      </c>
      <c r="SK41" s="1">
        <v>66300.990785254806</v>
      </c>
      <c r="SL41" s="1">
        <v>6325875.5612572851</v>
      </c>
      <c r="SM41" s="1">
        <v>1.0480919225049901E-2</v>
      </c>
      <c r="SN41" s="1"/>
      <c r="SO41" s="22">
        <v>12130</v>
      </c>
      <c r="SP41" s="1" t="s">
        <v>31</v>
      </c>
      <c r="SQ41" s="1">
        <v>2022</v>
      </c>
      <c r="SR41" s="1" t="s">
        <v>23</v>
      </c>
      <c r="SS41" s="1">
        <v>80938.353418913568</v>
      </c>
      <c r="ST41" s="1">
        <v>9782189.227885304</v>
      </c>
      <c r="SU41" s="1">
        <v>8.2740531320115007E-3</v>
      </c>
      <c r="SV41" s="1"/>
      <c r="SW41" s="22">
        <v>13050</v>
      </c>
      <c r="SX41" s="1" t="s">
        <v>51</v>
      </c>
      <c r="SY41" s="1">
        <v>2022</v>
      </c>
      <c r="SZ41" s="1" t="s">
        <v>23</v>
      </c>
      <c r="TA41" s="1">
        <v>26693.455007653749</v>
      </c>
      <c r="TB41" s="1">
        <v>4800579.963537232</v>
      </c>
      <c r="TC41" s="1">
        <v>5.5604646126933997E-3</v>
      </c>
      <c r="TD41" s="1"/>
      <c r="TE41" s="22">
        <v>13970</v>
      </c>
      <c r="TF41" s="1" t="s">
        <v>57</v>
      </c>
      <c r="TG41" s="1">
        <v>2022</v>
      </c>
      <c r="TH41" s="1" t="s">
        <v>23</v>
      </c>
      <c r="TI41" s="1">
        <v>105614.85734823529</v>
      </c>
      <c r="TJ41" s="1">
        <v>9346455.8140041605</v>
      </c>
      <c r="TK41" s="1">
        <v>1.12999900122556E-2</v>
      </c>
      <c r="TL41" s="1"/>
      <c r="TM41" s="22">
        <v>8496</v>
      </c>
      <c r="TN41" s="1" t="s">
        <v>17</v>
      </c>
      <c r="TO41" s="1">
        <v>2023</v>
      </c>
      <c r="TP41" s="1" t="s">
        <v>23</v>
      </c>
      <c r="TQ41" s="1">
        <v>43451.048115577672</v>
      </c>
      <c r="TR41" s="1">
        <v>4968081.7329930915</v>
      </c>
      <c r="TS41" s="1">
        <v>8.7460413195336005E-3</v>
      </c>
      <c r="TT41" s="1"/>
      <c r="TU41" s="22">
        <v>9416</v>
      </c>
      <c r="TV41" s="1" t="s">
        <v>61</v>
      </c>
      <c r="TW41" s="1">
        <v>2023</v>
      </c>
      <c r="TX41" s="1" t="s">
        <v>23</v>
      </c>
      <c r="TY41" s="1">
        <v>1103632.956924896</v>
      </c>
      <c r="TZ41" s="1">
        <v>61560292.543660469</v>
      </c>
      <c r="UA41" s="1">
        <v>1.7927675638353499E-2</v>
      </c>
      <c r="UB41" s="1"/>
      <c r="UC41" s="22">
        <v>10336</v>
      </c>
      <c r="UD41" s="1" t="s">
        <v>44</v>
      </c>
      <c r="UE41" s="1">
        <v>2023</v>
      </c>
      <c r="UF41" s="1" t="s">
        <v>23</v>
      </c>
      <c r="UG41" s="1">
        <v>103062.0244269089</v>
      </c>
      <c r="UH41" s="1">
        <v>7441719.4347760417</v>
      </c>
      <c r="UI41" s="1">
        <v>1.38492219883066E-2</v>
      </c>
      <c r="UJ41" s="1"/>
      <c r="UK41" s="22">
        <v>11256</v>
      </c>
      <c r="UL41" s="1" t="s">
        <v>38</v>
      </c>
      <c r="UM41" s="1">
        <v>2023</v>
      </c>
      <c r="UN41" s="1" t="s">
        <v>23</v>
      </c>
      <c r="UO41" s="1">
        <v>72359.672677525363</v>
      </c>
      <c r="UP41" s="1">
        <v>6903943.3587640161</v>
      </c>
      <c r="UQ41" s="1">
        <v>1.0480919225049901E-2</v>
      </c>
      <c r="UR41" s="1"/>
      <c r="US41" s="22">
        <v>12176</v>
      </c>
      <c r="UT41" s="1" t="s">
        <v>31</v>
      </c>
      <c r="UU41" s="1">
        <v>2023</v>
      </c>
      <c r="UV41" s="1" t="s">
        <v>23</v>
      </c>
      <c r="UW41" s="1">
        <v>87977.400823320466</v>
      </c>
      <c r="UX41" s="1">
        <v>10632926.743356841</v>
      </c>
      <c r="UY41" s="1">
        <v>8.2740531320115007E-3</v>
      </c>
      <c r="UZ41" s="1"/>
      <c r="VA41" s="22">
        <v>13096</v>
      </c>
      <c r="VB41" s="1" t="s">
        <v>51</v>
      </c>
      <c r="VC41" s="1">
        <v>2023</v>
      </c>
      <c r="VD41" s="1" t="s">
        <v>23</v>
      </c>
      <c r="VE41" s="1">
        <v>29237.6220112396</v>
      </c>
      <c r="VF41" s="1">
        <v>5258125.7228930313</v>
      </c>
      <c r="VG41" s="1">
        <v>5.5604646126933997E-3</v>
      </c>
      <c r="VH41" s="1"/>
      <c r="VI41" s="22">
        <v>14016</v>
      </c>
      <c r="VJ41" s="1" t="s">
        <v>57</v>
      </c>
      <c r="VK41" s="1">
        <v>2023</v>
      </c>
      <c r="VL41" s="1" t="s">
        <v>23</v>
      </c>
      <c r="VM41" s="1">
        <v>104393.5540823526</v>
      </c>
      <c r="VN41" s="1">
        <v>9238375.7834414635</v>
      </c>
      <c r="VO41" s="1">
        <v>1.12999900122556E-2</v>
      </c>
      <c r="VP41" s="1"/>
      <c r="VQ41" s="22">
        <v>8542</v>
      </c>
      <c r="VR41" s="1" t="s">
        <v>17</v>
      </c>
      <c r="VS41" s="1">
        <v>2024</v>
      </c>
      <c r="VT41" s="1" t="s">
        <v>23</v>
      </c>
      <c r="VU41" s="1">
        <v>44808.755919017938</v>
      </c>
      <c r="VV41" s="1">
        <v>5123318.5714479852</v>
      </c>
      <c r="VW41" s="1">
        <v>8.7460413195336005E-3</v>
      </c>
      <c r="VX41" s="1"/>
      <c r="VY41" s="22">
        <v>9462</v>
      </c>
      <c r="VZ41" s="1" t="s">
        <v>61</v>
      </c>
      <c r="WA41" s="1">
        <v>2024</v>
      </c>
      <c r="WB41" s="1" t="s">
        <v>23</v>
      </c>
      <c r="WC41" s="1">
        <v>1161926.556131606</v>
      </c>
      <c r="WD41" s="1">
        <v>64811890.820126347</v>
      </c>
      <c r="WE41" s="1">
        <v>1.7927675638353499E-2</v>
      </c>
      <c r="WF41" s="1"/>
      <c r="WG41" s="22">
        <v>10382</v>
      </c>
      <c r="WH41" s="1" t="s">
        <v>44</v>
      </c>
      <c r="WI41" s="1">
        <v>2024</v>
      </c>
      <c r="WJ41" s="1" t="s">
        <v>23</v>
      </c>
      <c r="WK41" s="1">
        <v>111440.9786957035</v>
      </c>
      <c r="WL41" s="1">
        <v>8046732.0684004631</v>
      </c>
      <c r="WM41" s="1">
        <v>1.38492219883066E-2</v>
      </c>
      <c r="WN41" s="1"/>
      <c r="WO41" s="22">
        <v>11302</v>
      </c>
      <c r="WP41" s="1" t="s">
        <v>38</v>
      </c>
      <c r="WQ41" s="1">
        <v>2024</v>
      </c>
      <c r="WR41" s="1" t="s">
        <v>23</v>
      </c>
      <c r="WS41" s="1">
        <v>74973.728477716446</v>
      </c>
      <c r="WT41" s="1">
        <v>7153354.2877160665</v>
      </c>
      <c r="WU41" s="1">
        <v>1.0480919225049901E-2</v>
      </c>
      <c r="WV41" s="1"/>
      <c r="WW41" s="22">
        <v>12222</v>
      </c>
      <c r="WX41" s="1" t="s">
        <v>31</v>
      </c>
      <c r="WY41" s="1">
        <v>2024</v>
      </c>
      <c r="WZ41" s="1" t="s">
        <v>23</v>
      </c>
      <c r="XA41" s="1">
        <v>90586.766559563315</v>
      </c>
      <c r="XB41" s="1">
        <v>10948294.03609846</v>
      </c>
      <c r="XC41" s="1">
        <v>8.2740531320115007E-3</v>
      </c>
      <c r="XD41" s="1"/>
      <c r="XE41" s="22">
        <v>13142</v>
      </c>
      <c r="XF41" s="1" t="s">
        <v>51</v>
      </c>
      <c r="XG41" s="1">
        <v>2024</v>
      </c>
      <c r="XH41" s="1" t="s">
        <v>23</v>
      </c>
      <c r="XI41" s="1">
        <v>30102.339389141329</v>
      </c>
      <c r="XJ41" s="1">
        <v>5413637.436055948</v>
      </c>
      <c r="XK41" s="1">
        <v>5.5604646126933997E-3</v>
      </c>
      <c r="XL41" s="1"/>
      <c r="XM41" s="22">
        <v>14062</v>
      </c>
      <c r="XN41" s="1" t="s">
        <v>57</v>
      </c>
      <c r="XO41" s="1">
        <v>2024</v>
      </c>
      <c r="XP41" s="1" t="s">
        <v>23</v>
      </c>
      <c r="XQ41" s="1">
        <v>99761.075717786996</v>
      </c>
      <c r="XR41" s="1">
        <v>8828421.583522588</v>
      </c>
      <c r="XS41" s="1">
        <v>1.12999900122556E-2</v>
      </c>
      <c r="XT41" s="1"/>
    </row>
    <row r="42" spans="1:644" x14ac:dyDescent="0.25">
      <c r="A42" s="2">
        <v>33</v>
      </c>
      <c r="B42" s="1" t="s">
        <v>17</v>
      </c>
      <c r="C42" s="18" t="s">
        <v>23</v>
      </c>
      <c r="D42" s="18">
        <v>8.5778744154295563E-3</v>
      </c>
      <c r="E42" s="18">
        <v>8.4461518719773643E-3</v>
      </c>
      <c r="F42" s="18">
        <v>8.6428767973270246E-3</v>
      </c>
      <c r="G42" s="18">
        <v>8.8095511092119317E-3</v>
      </c>
      <c r="H42" s="18">
        <v>8.819324099332471E-3</v>
      </c>
      <c r="I42" s="18">
        <v>8.9320531698003289E-3</v>
      </c>
      <c r="J42" s="18">
        <v>8.7460413195336456E-3</v>
      </c>
      <c r="K42" s="18">
        <v>8.7460413195336179E-3</v>
      </c>
      <c r="L42" s="18">
        <v>8.7460413195336196E-3</v>
      </c>
      <c r="M42" s="18">
        <v>8.7460413195336196E-3</v>
      </c>
      <c r="N42" s="18">
        <v>8.7460413195336196E-3</v>
      </c>
      <c r="O42" s="18">
        <v>8.7234580055224348E-3</v>
      </c>
      <c r="P42" s="1"/>
      <c r="Q42" s="2">
        <v>264</v>
      </c>
      <c r="R42" s="1" t="s">
        <v>57</v>
      </c>
      <c r="S42" s="19" t="s">
        <v>25</v>
      </c>
      <c r="T42" s="19">
        <v>1.6495580448358749E-2</v>
      </c>
      <c r="U42" s="1"/>
      <c r="AC42" s="22">
        <v>907</v>
      </c>
      <c r="AD42" s="23" t="s">
        <v>17</v>
      </c>
      <c r="AE42" s="23">
        <v>2014</v>
      </c>
      <c r="AF42" s="23" t="s">
        <v>25</v>
      </c>
      <c r="AG42" s="23">
        <v>51317.3</v>
      </c>
      <c r="AH42" s="23">
        <v>4088215.6</v>
      </c>
      <c r="AI42" s="23">
        <v>1.2552493562227899E-2</v>
      </c>
      <c r="AJ42" s="1"/>
      <c r="AK42" s="22">
        <v>2103</v>
      </c>
      <c r="AL42" s="1" t="s">
        <v>61</v>
      </c>
      <c r="AM42" s="1">
        <v>2014</v>
      </c>
      <c r="AN42" s="1" t="s">
        <v>25</v>
      </c>
      <c r="AO42" s="1">
        <v>593831.9</v>
      </c>
      <c r="AP42" s="1">
        <v>40350049.200000003</v>
      </c>
      <c r="AQ42" s="1">
        <v>1.4717005599091001E-2</v>
      </c>
      <c r="AR42" s="1"/>
      <c r="AS42" s="22">
        <v>3299</v>
      </c>
      <c r="AT42" s="1" t="s">
        <v>44</v>
      </c>
      <c r="AU42" s="1">
        <v>2014</v>
      </c>
      <c r="AV42" s="1" t="s">
        <v>25</v>
      </c>
      <c r="AW42" s="1">
        <v>83402.100000000006</v>
      </c>
      <c r="AX42" s="1">
        <v>6735816.8000000007</v>
      </c>
      <c r="AY42" s="1">
        <v>1.2381883664056801E-2</v>
      </c>
      <c r="AZ42" s="1"/>
      <c r="BA42" s="22">
        <v>4495</v>
      </c>
      <c r="BB42" s="1" t="s">
        <v>38</v>
      </c>
      <c r="BC42" s="1">
        <v>2014</v>
      </c>
      <c r="BD42" s="1" t="s">
        <v>25</v>
      </c>
      <c r="BE42" s="1">
        <v>71928.2</v>
      </c>
      <c r="BF42" s="1">
        <v>6538596.7000000002</v>
      </c>
      <c r="BG42" s="1">
        <v>1.1000556128503799E-2</v>
      </c>
      <c r="BH42" s="1"/>
      <c r="BI42" s="22">
        <v>5691</v>
      </c>
      <c r="BJ42" s="1" t="s">
        <v>31</v>
      </c>
      <c r="BK42" s="1">
        <v>2014</v>
      </c>
      <c r="BL42" s="1" t="s">
        <v>25</v>
      </c>
      <c r="BM42" s="1">
        <v>86554.5</v>
      </c>
      <c r="BN42" s="1">
        <v>9155477.5</v>
      </c>
      <c r="BO42" s="1">
        <v>9.4538488025337E-3</v>
      </c>
      <c r="BP42" s="1"/>
      <c r="BQ42" s="22">
        <v>6887</v>
      </c>
      <c r="BR42" s="1" t="s">
        <v>51</v>
      </c>
      <c r="BS42" s="1">
        <v>2014</v>
      </c>
      <c r="BT42" s="1" t="s">
        <v>25</v>
      </c>
      <c r="BU42" s="1">
        <v>51047.1</v>
      </c>
      <c r="BV42" s="1">
        <v>4981875.5</v>
      </c>
      <c r="BW42" s="1">
        <v>1.0246562765368099E-2</v>
      </c>
      <c r="BX42" s="1"/>
      <c r="BY42" s="22">
        <v>8083</v>
      </c>
      <c r="BZ42" s="1" t="s">
        <v>57</v>
      </c>
      <c r="CA42" s="1">
        <v>2014</v>
      </c>
      <c r="CB42" s="1" t="s">
        <v>25</v>
      </c>
      <c r="CC42" s="1">
        <v>170204.1</v>
      </c>
      <c r="CD42" s="1">
        <v>11026913.800000001</v>
      </c>
      <c r="CE42" s="1">
        <v>1.54353342274245E-2</v>
      </c>
      <c r="CF42" s="1"/>
      <c r="CG42" s="22">
        <v>953</v>
      </c>
      <c r="CH42" s="1" t="s">
        <v>17</v>
      </c>
      <c r="CI42" s="1">
        <v>2015</v>
      </c>
      <c r="CJ42" s="1" t="s">
        <v>25</v>
      </c>
      <c r="CK42" s="1">
        <v>45212.6</v>
      </c>
      <c r="CL42" s="1">
        <v>3555133.8</v>
      </c>
      <c r="CM42" s="1">
        <v>1.27175522901557E-2</v>
      </c>
      <c r="CN42" s="1"/>
      <c r="CO42" s="22">
        <v>2149</v>
      </c>
      <c r="CP42" s="1" t="s">
        <v>61</v>
      </c>
      <c r="CQ42" s="1">
        <v>2015</v>
      </c>
      <c r="CR42" s="1" t="s">
        <v>25</v>
      </c>
      <c r="CS42" s="1">
        <v>607248.9</v>
      </c>
      <c r="CT42" s="1">
        <v>41208556.399999999</v>
      </c>
      <c r="CU42" s="1">
        <v>1.47359906060674E-2</v>
      </c>
      <c r="CV42" s="1"/>
      <c r="CW42" s="22">
        <v>3345</v>
      </c>
      <c r="CX42" s="1" t="s">
        <v>44</v>
      </c>
      <c r="CY42" s="1">
        <v>2015</v>
      </c>
      <c r="CZ42" s="1" t="s">
        <v>25</v>
      </c>
      <c r="DA42" s="1">
        <v>77664.600000000006</v>
      </c>
      <c r="DB42" s="1">
        <v>6404349.4000000004</v>
      </c>
      <c r="DC42" s="1">
        <v>1.2126852416890301E-2</v>
      </c>
      <c r="DD42" s="1"/>
      <c r="DE42" s="22">
        <v>4541</v>
      </c>
      <c r="DF42" s="1" t="s">
        <v>38</v>
      </c>
      <c r="DG42" s="1">
        <v>2015</v>
      </c>
      <c r="DH42" s="1" t="s">
        <v>25</v>
      </c>
      <c r="DI42" s="1">
        <v>60100.3</v>
      </c>
      <c r="DJ42" s="1">
        <v>5531517.5999999996</v>
      </c>
      <c r="DK42" s="1">
        <v>1.0865065312275201E-2</v>
      </c>
      <c r="DL42" s="1"/>
      <c r="DM42" s="22">
        <v>5737</v>
      </c>
      <c r="DN42" s="1" t="s">
        <v>31</v>
      </c>
      <c r="DO42" s="1">
        <v>2015</v>
      </c>
      <c r="DP42" s="1" t="s">
        <v>25</v>
      </c>
      <c r="DQ42" s="1">
        <v>74044.7</v>
      </c>
      <c r="DR42" s="1">
        <v>7894528</v>
      </c>
      <c r="DS42" s="1">
        <v>9.3792434455865995E-3</v>
      </c>
      <c r="DT42" s="1"/>
      <c r="DU42" s="22">
        <v>6933</v>
      </c>
      <c r="DV42" s="1" t="s">
        <v>51</v>
      </c>
      <c r="DW42" s="1">
        <v>2015</v>
      </c>
      <c r="DX42" s="1" t="s">
        <v>25</v>
      </c>
      <c r="DY42" s="1">
        <v>43400.4</v>
      </c>
      <c r="DZ42" s="1">
        <v>4209274.5999999996</v>
      </c>
      <c r="EA42" s="1">
        <v>1.0310660178834599E-2</v>
      </c>
      <c r="EB42" s="1"/>
      <c r="EC42" s="22">
        <v>8129</v>
      </c>
      <c r="ED42" s="1" t="s">
        <v>57</v>
      </c>
      <c r="EE42" s="1">
        <v>2015</v>
      </c>
      <c r="EF42" s="1" t="s">
        <v>25</v>
      </c>
      <c r="EG42" s="1">
        <v>154476</v>
      </c>
      <c r="EH42" s="1">
        <v>9729477.0999999996</v>
      </c>
      <c r="EI42" s="1">
        <v>1.5877112244809099E-2</v>
      </c>
      <c r="EJ42" s="1"/>
      <c r="EK42" s="22">
        <v>999</v>
      </c>
      <c r="EL42" s="1" t="s">
        <v>17</v>
      </c>
      <c r="EM42" s="1">
        <v>2016</v>
      </c>
      <c r="EN42" s="1" t="s">
        <v>25</v>
      </c>
      <c r="EO42" s="1">
        <v>44554.9</v>
      </c>
      <c r="EP42" s="1">
        <v>3463407</v>
      </c>
      <c r="EQ42" s="1">
        <v>1.2864471313940201E-2</v>
      </c>
      <c r="ER42" s="1"/>
      <c r="ES42" s="22">
        <v>2195</v>
      </c>
      <c r="ET42" s="1" t="s">
        <v>61</v>
      </c>
      <c r="EU42" s="1">
        <v>2016</v>
      </c>
      <c r="EV42" s="1" t="s">
        <v>25</v>
      </c>
      <c r="EW42" s="1">
        <v>633193.69999999995</v>
      </c>
      <c r="EX42" s="1">
        <v>42141395.200000003</v>
      </c>
      <c r="EY42" s="1">
        <v>1.5025456489869599E-2</v>
      </c>
      <c r="EZ42" s="1"/>
      <c r="FA42" s="22">
        <v>3391</v>
      </c>
      <c r="FB42" s="1" t="s">
        <v>44</v>
      </c>
      <c r="FC42" s="1">
        <v>2016</v>
      </c>
      <c r="FD42" s="1" t="s">
        <v>25</v>
      </c>
      <c r="FE42" s="1">
        <v>69767.5</v>
      </c>
      <c r="FF42" s="1">
        <v>5868597.7999999998</v>
      </c>
      <c r="FG42" s="1">
        <v>1.1888274231367501E-2</v>
      </c>
      <c r="FH42" s="1"/>
      <c r="FI42" s="22">
        <v>4587</v>
      </c>
      <c r="FJ42" s="1" t="s">
        <v>38</v>
      </c>
      <c r="FK42" s="1">
        <v>2016</v>
      </c>
      <c r="FL42" s="1" t="s">
        <v>25</v>
      </c>
      <c r="FM42" s="1">
        <v>60548.800000000003</v>
      </c>
      <c r="FN42" s="1">
        <v>5582986.5</v>
      </c>
      <c r="FO42" s="1">
        <v>1.08452348935466E-2</v>
      </c>
      <c r="FP42" s="1"/>
      <c r="FQ42" s="22">
        <v>5783</v>
      </c>
      <c r="FR42" s="1" t="s">
        <v>31</v>
      </c>
      <c r="FS42" s="1">
        <v>2016</v>
      </c>
      <c r="FT42" s="1" t="s">
        <v>25</v>
      </c>
      <c r="FU42" s="1">
        <v>75049.7</v>
      </c>
      <c r="FV42" s="1">
        <v>8130820.9000000004</v>
      </c>
      <c r="FW42" s="1">
        <v>9.2302734155660995E-3</v>
      </c>
      <c r="FX42" s="1"/>
      <c r="FY42" s="22">
        <v>6979</v>
      </c>
      <c r="FZ42" s="1" t="s">
        <v>51</v>
      </c>
      <c r="GA42" s="1">
        <v>2016</v>
      </c>
      <c r="GB42" s="1" t="s">
        <v>25</v>
      </c>
      <c r="GC42" s="1">
        <v>42953.3</v>
      </c>
      <c r="GD42" s="1">
        <v>4230502.5999999996</v>
      </c>
      <c r="GE42" s="1">
        <v>1.01532380573409E-2</v>
      </c>
      <c r="GF42" s="1"/>
      <c r="GG42" s="22">
        <v>8175</v>
      </c>
      <c r="GH42" s="1" t="s">
        <v>57</v>
      </c>
      <c r="GI42" s="1">
        <v>2016</v>
      </c>
      <c r="GJ42" s="1" t="s">
        <v>25</v>
      </c>
      <c r="GK42" s="1">
        <v>177470.5</v>
      </c>
      <c r="GL42" s="1">
        <v>10773649.5</v>
      </c>
      <c r="GM42" s="1">
        <v>1.64726446688283E-2</v>
      </c>
      <c r="GN42" s="1"/>
      <c r="GO42" s="22">
        <v>1045</v>
      </c>
      <c r="GP42" s="1" t="s">
        <v>17</v>
      </c>
      <c r="GQ42" s="1">
        <v>2017</v>
      </c>
      <c r="GR42" s="1" t="s">
        <v>25</v>
      </c>
      <c r="GS42" s="1">
        <v>48425.9</v>
      </c>
      <c r="GT42" s="1">
        <v>3719735.5</v>
      </c>
      <c r="GU42" s="1">
        <v>1.30186407071147E-2</v>
      </c>
      <c r="GV42" s="1"/>
      <c r="GW42" s="22">
        <v>2241</v>
      </c>
      <c r="GX42" s="1" t="s">
        <v>61</v>
      </c>
      <c r="GY42" s="1">
        <v>2017</v>
      </c>
      <c r="GZ42" s="1" t="s">
        <v>25</v>
      </c>
      <c r="HA42" s="1">
        <v>621406.69999999995</v>
      </c>
      <c r="HB42" s="1">
        <v>44107004.100000001</v>
      </c>
      <c r="HC42" s="1">
        <v>1.4088617277000601E-2</v>
      </c>
      <c r="HD42" s="1"/>
      <c r="HE42" s="22">
        <v>3437</v>
      </c>
      <c r="HF42" s="1" t="s">
        <v>44</v>
      </c>
      <c r="HG42" s="1">
        <v>2017</v>
      </c>
      <c r="HH42" s="1" t="s">
        <v>25</v>
      </c>
      <c r="HI42" s="1">
        <v>68980.100000000006</v>
      </c>
      <c r="HJ42" s="1">
        <v>5855367.5</v>
      </c>
      <c r="HK42" s="1">
        <v>1.1780661077208199E-2</v>
      </c>
      <c r="HL42" s="1"/>
      <c r="HM42" s="22">
        <v>4633</v>
      </c>
      <c r="HN42" s="1" t="s">
        <v>38</v>
      </c>
      <c r="HO42" s="1">
        <v>2017</v>
      </c>
      <c r="HP42" s="1" t="s">
        <v>25</v>
      </c>
      <c r="HQ42" s="1">
        <v>62442.8</v>
      </c>
      <c r="HR42" s="1">
        <v>5923445.7000000002</v>
      </c>
      <c r="HS42" s="1">
        <v>1.0541634575969801E-2</v>
      </c>
      <c r="HT42" s="1"/>
      <c r="HU42" s="22">
        <v>5829</v>
      </c>
      <c r="HV42" s="1" t="s">
        <v>31</v>
      </c>
      <c r="HW42" s="1">
        <v>2017</v>
      </c>
      <c r="HX42" s="1" t="s">
        <v>25</v>
      </c>
      <c r="HY42" s="1">
        <v>77586.600000000006</v>
      </c>
      <c r="HZ42" s="1">
        <v>8686095.3000000007</v>
      </c>
      <c r="IA42" s="1">
        <v>8.9322759330074993E-3</v>
      </c>
      <c r="IB42" s="1"/>
      <c r="IC42" s="22">
        <v>7025</v>
      </c>
      <c r="ID42" s="1" t="s">
        <v>51</v>
      </c>
      <c r="IE42" s="1">
        <v>2017</v>
      </c>
      <c r="IF42" s="1" t="s">
        <v>25</v>
      </c>
      <c r="IG42" s="1">
        <v>44168.5</v>
      </c>
      <c r="IH42" s="1">
        <v>4472691.8</v>
      </c>
      <c r="II42" s="1">
        <v>9.8751494569780003E-3</v>
      </c>
      <c r="IJ42" s="1"/>
      <c r="IK42" s="22">
        <v>8221</v>
      </c>
      <c r="IL42" s="1" t="s">
        <v>57</v>
      </c>
      <c r="IM42" s="1">
        <v>2017</v>
      </c>
      <c r="IN42" s="1" t="s">
        <v>25</v>
      </c>
      <c r="IO42" s="1">
        <v>172784.9</v>
      </c>
      <c r="IP42" s="1">
        <v>10750260.5</v>
      </c>
      <c r="IQ42" s="1">
        <v>1.6072624472681301E-2</v>
      </c>
      <c r="IR42" s="1"/>
      <c r="IS42" s="22">
        <v>1091</v>
      </c>
      <c r="IT42" s="1" t="s">
        <v>17</v>
      </c>
      <c r="IU42" s="1">
        <v>2018</v>
      </c>
      <c r="IV42" s="1" t="s">
        <v>25</v>
      </c>
      <c r="IW42" s="1">
        <v>49061.599999999999</v>
      </c>
      <c r="IX42" s="1">
        <v>3904165.4</v>
      </c>
      <c r="IY42" s="1">
        <v>1.25664757953133E-2</v>
      </c>
      <c r="IZ42" s="1"/>
      <c r="JA42" s="22">
        <v>2287</v>
      </c>
      <c r="JB42" s="1" t="s">
        <v>61</v>
      </c>
      <c r="JC42" s="1">
        <v>2018</v>
      </c>
      <c r="JD42" s="1" t="s">
        <v>25</v>
      </c>
      <c r="JE42" s="1">
        <v>632885.30000000005</v>
      </c>
      <c r="JF42" s="1">
        <v>46669099.200000003</v>
      </c>
      <c r="JG42" s="1">
        <v>1.35611209740255E-2</v>
      </c>
      <c r="JH42" s="1"/>
      <c r="JI42" s="22">
        <v>3483</v>
      </c>
      <c r="JJ42" s="1" t="s">
        <v>44</v>
      </c>
      <c r="JK42" s="1">
        <v>2018</v>
      </c>
      <c r="JL42" s="1" t="s">
        <v>25</v>
      </c>
      <c r="JM42" s="1">
        <v>71679.3</v>
      </c>
      <c r="JN42" s="1">
        <v>6336724.7000000002</v>
      </c>
      <c r="JO42" s="1">
        <v>1.1311727018849299E-2</v>
      </c>
      <c r="JP42" s="1"/>
      <c r="JQ42" s="22">
        <v>4679</v>
      </c>
      <c r="JR42" s="1" t="s">
        <v>38</v>
      </c>
      <c r="JS42" s="1">
        <v>2018</v>
      </c>
      <c r="JT42" s="1" t="s">
        <v>25</v>
      </c>
      <c r="JU42" s="1">
        <v>64078.7</v>
      </c>
      <c r="JV42" s="1">
        <v>6390706</v>
      </c>
      <c r="JW42" s="1">
        <v>1.00268577524924E-2</v>
      </c>
      <c r="JX42" s="1"/>
      <c r="JY42" s="22">
        <v>5875</v>
      </c>
      <c r="JZ42" s="1" t="s">
        <v>31</v>
      </c>
      <c r="KA42" s="1">
        <v>2018</v>
      </c>
      <c r="KB42" s="1" t="s">
        <v>25</v>
      </c>
      <c r="KC42" s="1">
        <v>80908</v>
      </c>
      <c r="KD42" s="1">
        <v>9443218.3000000007</v>
      </c>
      <c r="KE42" s="1">
        <v>8.5678417494594993E-3</v>
      </c>
      <c r="KF42" s="1"/>
      <c r="KG42" s="22">
        <v>7071</v>
      </c>
      <c r="KH42" s="1" t="s">
        <v>51</v>
      </c>
      <c r="KI42" s="1">
        <v>2018</v>
      </c>
      <c r="KJ42" s="1" t="s">
        <v>25</v>
      </c>
      <c r="KK42" s="1">
        <v>45305.5</v>
      </c>
      <c r="KL42" s="1">
        <v>4803387.8</v>
      </c>
      <c r="KM42" s="1">
        <v>9.4319888142281004E-3</v>
      </c>
      <c r="KN42" s="1"/>
      <c r="KO42" s="22">
        <v>8267</v>
      </c>
      <c r="KP42" s="1" t="s">
        <v>57</v>
      </c>
      <c r="KQ42" s="1">
        <v>2018</v>
      </c>
      <c r="KR42" s="1" t="s">
        <v>25</v>
      </c>
      <c r="KS42" s="1">
        <v>186581.3</v>
      </c>
      <c r="KT42" s="1">
        <v>11172914.4</v>
      </c>
      <c r="KU42" s="1">
        <v>1.66994298282639E-2</v>
      </c>
      <c r="KV42" s="1"/>
      <c r="KW42" s="22">
        <v>1137</v>
      </c>
      <c r="KX42" s="1" t="s">
        <v>17</v>
      </c>
      <c r="KY42" s="1">
        <v>2019</v>
      </c>
      <c r="KZ42" s="1" t="s">
        <v>25</v>
      </c>
      <c r="LA42" s="1">
        <v>48838.400000000001</v>
      </c>
      <c r="LB42" s="1">
        <v>3955328</v>
      </c>
      <c r="LC42" s="1">
        <v>1.23474968447623E-2</v>
      </c>
      <c r="LD42" s="1"/>
      <c r="LE42" s="22">
        <v>2333</v>
      </c>
      <c r="LF42" s="1" t="s">
        <v>61</v>
      </c>
      <c r="LG42" s="1">
        <v>2019</v>
      </c>
      <c r="LH42" s="1" t="s">
        <v>25</v>
      </c>
      <c r="LI42" s="1">
        <v>642295.30000000005</v>
      </c>
      <c r="LJ42" s="1">
        <v>48356774.5</v>
      </c>
      <c r="LK42" s="1">
        <v>1.32824264364448E-2</v>
      </c>
      <c r="LL42" s="1"/>
      <c r="LM42" s="22">
        <v>3529</v>
      </c>
      <c r="LN42" s="1" t="s">
        <v>44</v>
      </c>
      <c r="LO42" s="1">
        <v>2019</v>
      </c>
      <c r="LP42" s="1" t="s">
        <v>25</v>
      </c>
      <c r="LQ42" s="1">
        <v>67951.100000000006</v>
      </c>
      <c r="LR42" s="1">
        <v>6269787.0999999996</v>
      </c>
      <c r="LS42" s="1">
        <v>1.0837864016148099E-2</v>
      </c>
      <c r="LT42" s="1"/>
      <c r="LU42" s="22">
        <v>4725</v>
      </c>
      <c r="LV42" s="1" t="s">
        <v>38</v>
      </c>
      <c r="LW42" s="1">
        <v>2019</v>
      </c>
      <c r="LX42" s="1" t="s">
        <v>25</v>
      </c>
      <c r="LY42" s="1">
        <v>62175.3</v>
      </c>
      <c r="LZ42" s="1">
        <v>6182094.5</v>
      </c>
      <c r="MA42" s="1">
        <v>1.0057319570252399E-2</v>
      </c>
      <c r="MB42" s="1"/>
      <c r="MC42" s="22">
        <v>5921</v>
      </c>
      <c r="MD42" s="1" t="s">
        <v>31</v>
      </c>
      <c r="ME42" s="1">
        <v>2019</v>
      </c>
      <c r="MF42" s="1" t="s">
        <v>25</v>
      </c>
      <c r="MG42" s="1">
        <v>78022.600000000006</v>
      </c>
      <c r="MH42" s="1">
        <v>9237079</v>
      </c>
      <c r="MI42" s="1">
        <v>8.4466745385635006E-3</v>
      </c>
      <c r="MJ42" s="1"/>
      <c r="MK42" s="22">
        <v>7117</v>
      </c>
      <c r="ML42" s="1" t="s">
        <v>51</v>
      </c>
      <c r="MM42" s="1">
        <v>2019</v>
      </c>
      <c r="MN42" s="1" t="s">
        <v>25</v>
      </c>
      <c r="MO42" s="1">
        <v>42846.9</v>
      </c>
      <c r="MP42" s="1">
        <v>4608662</v>
      </c>
      <c r="MQ42" s="1">
        <v>9.2970367538343993E-3</v>
      </c>
      <c r="MR42" s="1"/>
      <c r="MS42" s="22">
        <v>8313</v>
      </c>
      <c r="MT42" s="1" t="s">
        <v>57</v>
      </c>
      <c r="MU42" s="1">
        <v>2019</v>
      </c>
      <c r="MV42" s="1" t="s">
        <v>25</v>
      </c>
      <c r="MW42" s="1">
        <v>187591.3</v>
      </c>
      <c r="MX42" s="1">
        <v>11338077</v>
      </c>
      <c r="MY42" s="1">
        <v>1.6545248369719101E-2</v>
      </c>
      <c r="MZ42" s="1"/>
      <c r="NA42" s="22">
        <v>1183</v>
      </c>
      <c r="NB42" s="1" t="s">
        <v>17</v>
      </c>
      <c r="NC42" s="1">
        <v>2020</v>
      </c>
      <c r="ND42" s="1" t="s">
        <v>25</v>
      </c>
      <c r="NE42" s="1">
        <v>48870</v>
      </c>
      <c r="NF42" s="1">
        <v>3784752.3</v>
      </c>
      <c r="NG42" s="1">
        <v>1.29123377506105E-2</v>
      </c>
      <c r="NH42" s="1"/>
      <c r="NI42" s="22">
        <v>2379</v>
      </c>
      <c r="NJ42" s="1" t="s">
        <v>61</v>
      </c>
      <c r="NK42" s="1">
        <v>2020</v>
      </c>
      <c r="NL42" s="1" t="s">
        <v>25</v>
      </c>
      <c r="NM42" s="1">
        <v>636992.1</v>
      </c>
      <c r="NN42" s="1">
        <v>47421769.399999999</v>
      </c>
      <c r="NO42" s="1">
        <v>1.34324827618093E-2</v>
      </c>
      <c r="NP42" s="1"/>
      <c r="NQ42" s="22">
        <v>3575</v>
      </c>
      <c r="NR42" s="1" t="s">
        <v>44</v>
      </c>
      <c r="NS42" s="1">
        <v>2020</v>
      </c>
      <c r="NT42" s="1" t="s">
        <v>25</v>
      </c>
      <c r="NU42" s="1">
        <v>67210.2</v>
      </c>
      <c r="NV42" s="1">
        <v>5955345.3666666672</v>
      </c>
      <c r="NW42" s="1">
        <v>1.12856930810746E-2</v>
      </c>
      <c r="NX42" s="1"/>
      <c r="NY42" s="22">
        <v>4771</v>
      </c>
      <c r="NZ42" s="1" t="s">
        <v>38</v>
      </c>
      <c r="OA42" s="1">
        <v>2020</v>
      </c>
      <c r="OB42" s="1" t="s">
        <v>25</v>
      </c>
      <c r="OC42" s="1">
        <v>67943.600000000006</v>
      </c>
      <c r="OD42" s="1">
        <v>5990228.4000000004</v>
      </c>
      <c r="OE42" s="1">
        <v>1.13424055750528E-2</v>
      </c>
      <c r="OF42" s="1"/>
      <c r="OG42" s="22">
        <v>5967</v>
      </c>
      <c r="OH42" s="1" t="s">
        <v>31</v>
      </c>
      <c r="OI42" s="1">
        <v>2020</v>
      </c>
      <c r="OJ42" s="1" t="s">
        <v>25</v>
      </c>
      <c r="OK42" s="1">
        <v>82358.100000000006</v>
      </c>
      <c r="OL42" s="1">
        <v>9257180.0999999996</v>
      </c>
      <c r="OM42" s="1">
        <v>8.8966725407015994E-3</v>
      </c>
      <c r="ON42" s="1"/>
      <c r="OO42" s="22">
        <v>7163</v>
      </c>
      <c r="OP42" s="1" t="s">
        <v>51</v>
      </c>
      <c r="OQ42" s="1">
        <v>2020</v>
      </c>
      <c r="OR42" s="1" t="s">
        <v>25</v>
      </c>
      <c r="OS42" s="1">
        <v>42201.5</v>
      </c>
      <c r="OT42" s="1">
        <v>4352046.4000000004</v>
      </c>
      <c r="OU42" s="1">
        <v>9.6969324591759005E-3</v>
      </c>
      <c r="OV42" s="1"/>
      <c r="OW42" s="22">
        <v>8359</v>
      </c>
      <c r="OX42" s="1" t="s">
        <v>57</v>
      </c>
      <c r="OY42" s="1">
        <v>2020</v>
      </c>
      <c r="OZ42" s="1" t="s">
        <v>25</v>
      </c>
      <c r="PA42" s="1">
        <v>186955.3</v>
      </c>
      <c r="PB42" s="1">
        <v>11082248.733333331</v>
      </c>
      <c r="PC42" s="1">
        <v>1.68697982240439E-2</v>
      </c>
      <c r="PD42" s="1"/>
      <c r="PE42" s="22">
        <v>8405</v>
      </c>
      <c r="PF42" s="1" t="s">
        <v>17</v>
      </c>
      <c r="PG42" s="1">
        <v>2021</v>
      </c>
      <c r="PH42" s="1" t="s">
        <v>25</v>
      </c>
      <c r="PI42" s="1">
        <v>59693.727411093831</v>
      </c>
      <c r="PJ42" s="1">
        <v>4622999.2247741111</v>
      </c>
      <c r="PK42" s="1">
        <v>1.29123377506105E-2</v>
      </c>
      <c r="PL42" s="1"/>
      <c r="PM42" s="22">
        <v>9325</v>
      </c>
      <c r="PN42" s="1" t="s">
        <v>61</v>
      </c>
      <c r="PO42" s="1">
        <v>2021</v>
      </c>
      <c r="PP42" s="1" t="s">
        <v>25</v>
      </c>
      <c r="PQ42" s="1">
        <v>706409.41638935381</v>
      </c>
      <c r="PR42" s="1">
        <v>52589638.782026872</v>
      </c>
      <c r="PS42" s="1">
        <v>1.34324827618093E-2</v>
      </c>
      <c r="PT42" s="1"/>
      <c r="PU42" s="22">
        <v>10245</v>
      </c>
      <c r="PV42" s="1" t="s">
        <v>44</v>
      </c>
      <c r="PW42" s="1">
        <v>2021</v>
      </c>
      <c r="PX42" s="1" t="s">
        <v>25</v>
      </c>
      <c r="PY42" s="1">
        <v>78339.043549714464</v>
      </c>
      <c r="PZ42" s="1">
        <v>6941447.2808129201</v>
      </c>
      <c r="QA42" s="1">
        <v>1.12856930810746E-2</v>
      </c>
      <c r="QB42" s="1"/>
      <c r="QC42" s="22">
        <v>11165</v>
      </c>
      <c r="QD42" s="1" t="s">
        <v>38</v>
      </c>
      <c r="QE42" s="1">
        <v>2021</v>
      </c>
      <c r="QF42" s="1" t="s">
        <v>25</v>
      </c>
      <c r="QG42" s="1">
        <v>76116.035298515781</v>
      </c>
      <c r="QH42" s="1">
        <v>6710748.8614170318</v>
      </c>
      <c r="QI42" s="1">
        <v>1.13424055750528E-2</v>
      </c>
      <c r="QJ42" s="1"/>
      <c r="QK42" s="22">
        <v>12085</v>
      </c>
      <c r="QL42" s="1" t="s">
        <v>31</v>
      </c>
      <c r="QM42" s="1">
        <v>2021</v>
      </c>
      <c r="QN42" s="1" t="s">
        <v>25</v>
      </c>
      <c r="QO42" s="1">
        <v>90889.594336748676</v>
      </c>
      <c r="QP42" s="1">
        <v>10216133.49495957</v>
      </c>
      <c r="QQ42" s="1">
        <v>8.8966725407015994E-3</v>
      </c>
      <c r="QR42" s="1"/>
      <c r="QS42" s="22">
        <v>13005</v>
      </c>
      <c r="QT42" s="1" t="s">
        <v>51</v>
      </c>
      <c r="QU42" s="1">
        <v>2021</v>
      </c>
      <c r="QV42" s="1" t="s">
        <v>25</v>
      </c>
      <c r="QW42" s="1">
        <v>48213.313279824273</v>
      </c>
      <c r="QX42" s="1">
        <v>4972017.0252605537</v>
      </c>
      <c r="QY42" s="1">
        <v>9.6969324591759005E-3</v>
      </c>
      <c r="QZ42" s="1"/>
      <c r="RA42" s="22">
        <v>13925</v>
      </c>
      <c r="RB42" s="1" t="s">
        <v>57</v>
      </c>
      <c r="RC42" s="1">
        <v>2021</v>
      </c>
      <c r="RD42" s="1" t="s">
        <v>25</v>
      </c>
      <c r="RE42" s="1">
        <v>186403.39369953269</v>
      </c>
      <c r="RF42" s="1">
        <v>11049533.09007922</v>
      </c>
      <c r="RG42" s="1">
        <v>1.68697982240439E-2</v>
      </c>
      <c r="RH42" s="1"/>
      <c r="RI42" s="22">
        <v>8451</v>
      </c>
      <c r="RJ42" s="1" t="s">
        <v>17</v>
      </c>
      <c r="RK42" s="1">
        <v>2022</v>
      </c>
      <c r="RL42" s="1" t="s">
        <v>25</v>
      </c>
      <c r="RM42" s="1">
        <v>64653.397214437457</v>
      </c>
      <c r="RN42" s="1">
        <v>5007102.3902221443</v>
      </c>
      <c r="RO42" s="1">
        <v>1.29123377506105E-2</v>
      </c>
      <c r="RP42" s="1"/>
      <c r="RQ42" s="22">
        <v>9371</v>
      </c>
      <c r="RR42" s="1" t="s">
        <v>61</v>
      </c>
      <c r="RS42" s="1">
        <v>2022</v>
      </c>
      <c r="RT42" s="1" t="s">
        <v>25</v>
      </c>
      <c r="RU42" s="1">
        <v>775784.97082480136</v>
      </c>
      <c r="RV42" s="1">
        <v>57754399.13688051</v>
      </c>
      <c r="RW42" s="1">
        <v>1.34324827618093E-2</v>
      </c>
      <c r="RX42" s="1"/>
      <c r="RY42" s="22">
        <v>10291</v>
      </c>
      <c r="RZ42" s="1" t="s">
        <v>44</v>
      </c>
      <c r="SA42" s="1">
        <v>2022</v>
      </c>
      <c r="SB42" s="1" t="s">
        <v>25</v>
      </c>
      <c r="SC42" s="1">
        <v>77609.316002046515</v>
      </c>
      <c r="SD42" s="1">
        <v>6876787.7563667288</v>
      </c>
      <c r="SE42" s="1">
        <v>1.12856930810746E-2</v>
      </c>
      <c r="SF42" s="1"/>
      <c r="SG42" s="22">
        <v>11211</v>
      </c>
      <c r="SH42" s="1" t="s">
        <v>38</v>
      </c>
      <c r="SI42" s="1">
        <v>2022</v>
      </c>
      <c r="SJ42" s="1" t="s">
        <v>25</v>
      </c>
      <c r="SK42" s="1">
        <v>71750.6462330949</v>
      </c>
      <c r="SL42" s="1">
        <v>6325875.5612572851</v>
      </c>
      <c r="SM42" s="1">
        <v>1.13424055750528E-2</v>
      </c>
      <c r="SN42" s="1"/>
      <c r="SO42" s="22">
        <v>12131</v>
      </c>
      <c r="SP42" s="1" t="s">
        <v>31</v>
      </c>
      <c r="SQ42" s="1">
        <v>2022</v>
      </c>
      <c r="SR42" s="1" t="s">
        <v>25</v>
      </c>
      <c r="SS42" s="1">
        <v>87028.934291674159</v>
      </c>
      <c r="ST42" s="1">
        <v>9782189.227885304</v>
      </c>
      <c r="SU42" s="1">
        <v>8.8966725407015994E-3</v>
      </c>
      <c r="SV42" s="1"/>
      <c r="SW42" s="22">
        <v>13051</v>
      </c>
      <c r="SX42" s="1" t="s">
        <v>51</v>
      </c>
      <c r="SY42" s="1">
        <v>2022</v>
      </c>
      <c r="SZ42" s="1" t="s">
        <v>25</v>
      </c>
      <c r="TA42" s="1">
        <v>46550.89967129365</v>
      </c>
      <c r="TB42" s="1">
        <v>4800579.963537232</v>
      </c>
      <c r="TC42" s="1">
        <v>9.6969324591759005E-3</v>
      </c>
      <c r="TD42" s="1"/>
      <c r="TE42" s="22">
        <v>13971</v>
      </c>
      <c r="TF42" s="1" t="s">
        <v>57</v>
      </c>
      <c r="TG42" s="1">
        <v>2022</v>
      </c>
      <c r="TH42" s="1" t="s">
        <v>25</v>
      </c>
      <c r="TI42" s="1">
        <v>157672.82369219221</v>
      </c>
      <c r="TJ42" s="1">
        <v>9346455.8140041605</v>
      </c>
      <c r="TK42" s="1">
        <v>1.68697982240439E-2</v>
      </c>
      <c r="TL42" s="1"/>
      <c r="TM42" s="22">
        <v>8497</v>
      </c>
      <c r="TN42" s="1" t="s">
        <v>17</v>
      </c>
      <c r="TO42" s="1">
        <v>2023</v>
      </c>
      <c r="TP42" s="1" t="s">
        <v>25</v>
      </c>
      <c r="TQ42" s="1">
        <v>64149.54930904512</v>
      </c>
      <c r="TR42" s="1">
        <v>4968081.7329930915</v>
      </c>
      <c r="TS42" s="1">
        <v>1.29123377506105E-2</v>
      </c>
      <c r="TT42" s="1"/>
      <c r="TU42" s="22">
        <v>9417</v>
      </c>
      <c r="TV42" s="1" t="s">
        <v>61</v>
      </c>
      <c r="TW42" s="1">
        <v>2023</v>
      </c>
      <c r="TX42" s="1" t="s">
        <v>25</v>
      </c>
      <c r="TY42" s="1">
        <v>826907.56840465683</v>
      </c>
      <c r="TZ42" s="1">
        <v>61560292.543660469</v>
      </c>
      <c r="UA42" s="1">
        <v>1.34324827618093E-2</v>
      </c>
      <c r="UB42" s="1"/>
      <c r="UC42" s="22">
        <v>10337</v>
      </c>
      <c r="UD42" s="1" t="s">
        <v>44</v>
      </c>
      <c r="UE42" s="1">
        <v>2023</v>
      </c>
      <c r="UF42" s="1" t="s">
        <v>25</v>
      </c>
      <c r="UG42" s="1">
        <v>83984.961536350354</v>
      </c>
      <c r="UH42" s="1">
        <v>7441719.4347760417</v>
      </c>
      <c r="UI42" s="1">
        <v>1.12856930810746E-2</v>
      </c>
      <c r="UJ42" s="1"/>
      <c r="UK42" s="22">
        <v>11257</v>
      </c>
      <c r="UL42" s="1" t="s">
        <v>38</v>
      </c>
      <c r="UM42" s="1">
        <v>2023</v>
      </c>
      <c r="UN42" s="1" t="s">
        <v>25</v>
      </c>
      <c r="UO42" s="1">
        <v>78307.325642293727</v>
      </c>
      <c r="UP42" s="1">
        <v>6903943.3587640161</v>
      </c>
      <c r="UQ42" s="1">
        <v>1.13424055750528E-2</v>
      </c>
      <c r="UR42" s="1"/>
      <c r="US42" s="22">
        <v>12177</v>
      </c>
      <c r="UT42" s="1" t="s">
        <v>31</v>
      </c>
      <c r="UU42" s="1">
        <v>2023</v>
      </c>
      <c r="UV42" s="1" t="s">
        <v>25</v>
      </c>
      <c r="UW42" s="1">
        <v>94597.667384914443</v>
      </c>
      <c r="UX42" s="1">
        <v>10632926.743356841</v>
      </c>
      <c r="UY42" s="1">
        <v>8.8966725407015994E-3</v>
      </c>
      <c r="UZ42" s="1"/>
      <c r="VA42" s="22">
        <v>13097</v>
      </c>
      <c r="VB42" s="1" t="s">
        <v>51</v>
      </c>
      <c r="VC42" s="1">
        <v>2023</v>
      </c>
      <c r="VD42" s="1" t="s">
        <v>25</v>
      </c>
      <c r="VE42" s="1">
        <v>50987.689996749192</v>
      </c>
      <c r="VF42" s="1">
        <v>5258125.7228930313</v>
      </c>
      <c r="VG42" s="1">
        <v>9.6969324591759005E-3</v>
      </c>
      <c r="VH42" s="1"/>
      <c r="VI42" s="22">
        <v>14017</v>
      </c>
      <c r="VJ42" s="1" t="s">
        <v>57</v>
      </c>
      <c r="VK42" s="1">
        <v>2023</v>
      </c>
      <c r="VL42" s="1" t="s">
        <v>25</v>
      </c>
      <c r="VM42" s="1">
        <v>155849.53538455101</v>
      </c>
      <c r="VN42" s="1">
        <v>9238375.7834414635</v>
      </c>
      <c r="VO42" s="1">
        <v>1.68697982240439E-2</v>
      </c>
      <c r="VP42" s="1"/>
      <c r="VQ42" s="22">
        <v>8543</v>
      </c>
      <c r="VR42" s="1" t="s">
        <v>17</v>
      </c>
      <c r="VS42" s="1">
        <v>2024</v>
      </c>
      <c r="VT42" s="1" t="s">
        <v>25</v>
      </c>
      <c r="VU42" s="1">
        <v>66154.019798511683</v>
      </c>
      <c r="VV42" s="1">
        <v>5123318.5714479852</v>
      </c>
      <c r="VW42" s="1">
        <v>1.29123377506105E-2</v>
      </c>
      <c r="VX42" s="1"/>
      <c r="VY42" s="22">
        <v>9463</v>
      </c>
      <c r="VZ42" s="1" t="s">
        <v>61</v>
      </c>
      <c r="WA42" s="1">
        <v>2024</v>
      </c>
      <c r="WB42" s="1" t="s">
        <v>25</v>
      </c>
      <c r="WC42" s="1">
        <v>870584.60620161355</v>
      </c>
      <c r="WD42" s="1">
        <v>64811890.820126347</v>
      </c>
      <c r="WE42" s="1">
        <v>1.34324827618093E-2</v>
      </c>
      <c r="WF42" s="1"/>
      <c r="WG42" s="22">
        <v>10383</v>
      </c>
      <c r="WH42" s="1" t="s">
        <v>44</v>
      </c>
      <c r="WI42" s="1">
        <v>2024</v>
      </c>
      <c r="WJ42" s="1" t="s">
        <v>25</v>
      </c>
      <c r="WK42" s="1">
        <v>90812.948429608194</v>
      </c>
      <c r="WL42" s="1">
        <v>8046732.0684004631</v>
      </c>
      <c r="WM42" s="1">
        <v>1.12856930810746E-2</v>
      </c>
      <c r="WN42" s="1"/>
      <c r="WO42" s="22">
        <v>11303</v>
      </c>
      <c r="WP42" s="1" t="s">
        <v>38</v>
      </c>
      <c r="WQ42" s="1">
        <v>2024</v>
      </c>
      <c r="WR42" s="1" t="s">
        <v>25</v>
      </c>
      <c r="WS42" s="1">
        <v>81136.245553318557</v>
      </c>
      <c r="WT42" s="1">
        <v>7153354.2877160665</v>
      </c>
      <c r="WU42" s="1">
        <v>1.13424055750528E-2</v>
      </c>
      <c r="WV42" s="1"/>
      <c r="WW42" s="22">
        <v>12223</v>
      </c>
      <c r="WX42" s="1" t="s">
        <v>31</v>
      </c>
      <c r="WY42" s="1">
        <v>2024</v>
      </c>
      <c r="WZ42" s="1" t="s">
        <v>25</v>
      </c>
      <c r="XA42" s="1">
        <v>97403.386918484277</v>
      </c>
      <c r="XB42" s="1">
        <v>10948294.03609846</v>
      </c>
      <c r="XC42" s="1">
        <v>8.8966725407015994E-3</v>
      </c>
      <c r="XD42" s="1"/>
      <c r="XE42" s="22">
        <v>13143</v>
      </c>
      <c r="XF42" s="1" t="s">
        <v>51</v>
      </c>
      <c r="XG42" s="1">
        <v>2024</v>
      </c>
      <c r="XH42" s="1" t="s">
        <v>25</v>
      </c>
      <c r="XI42" s="1">
        <v>52495.676575900718</v>
      </c>
      <c r="XJ42" s="1">
        <v>5413637.436055948</v>
      </c>
      <c r="XK42" s="1">
        <v>9.6969324591759005E-3</v>
      </c>
      <c r="XL42" s="1"/>
      <c r="XM42" s="22">
        <v>14063</v>
      </c>
      <c r="XN42" s="1" t="s">
        <v>57</v>
      </c>
      <c r="XO42" s="1">
        <v>2024</v>
      </c>
      <c r="XP42" s="1" t="s">
        <v>25</v>
      </c>
      <c r="XQ42" s="1">
        <v>148933.69075082021</v>
      </c>
      <c r="XR42" s="1">
        <v>8828421.583522588</v>
      </c>
      <c r="XS42" s="1">
        <v>1.68697982240439E-2</v>
      </c>
      <c r="XT42" s="1"/>
    </row>
    <row r="43" spans="1:644" x14ac:dyDescent="0.25">
      <c r="A43" s="2">
        <v>34</v>
      </c>
      <c r="B43" s="1" t="s">
        <v>17</v>
      </c>
      <c r="C43" s="19" t="s">
        <v>25</v>
      </c>
      <c r="D43" s="19">
        <v>1.2552493562227981E-2</v>
      </c>
      <c r="E43" s="19">
        <v>1.2717552290155721E-2</v>
      </c>
      <c r="F43" s="19">
        <v>1.2864471313940289E-2</v>
      </c>
      <c r="G43" s="19">
        <v>1.301864070711479E-2</v>
      </c>
      <c r="H43" s="19">
        <v>1.256647579531338E-2</v>
      </c>
      <c r="I43" s="19">
        <v>1.234749684476231E-2</v>
      </c>
      <c r="J43" s="19">
        <v>1.2912337750610519E-2</v>
      </c>
      <c r="K43" s="19">
        <v>1.291233775061053E-2</v>
      </c>
      <c r="L43" s="19">
        <v>1.291233775061053E-2</v>
      </c>
      <c r="M43" s="19">
        <v>1.291233775061053E-2</v>
      </c>
      <c r="N43" s="19">
        <v>1.291233775061053E-2</v>
      </c>
      <c r="O43" s="19">
        <v>1.2784438115142471E-2</v>
      </c>
      <c r="P43" s="1"/>
      <c r="Q43" s="2">
        <v>265</v>
      </c>
      <c r="R43" s="1" t="s">
        <v>57</v>
      </c>
      <c r="S43" s="1" t="s">
        <v>27</v>
      </c>
      <c r="T43" s="1">
        <v>1.6603440914409458E-2</v>
      </c>
      <c r="U43" s="1"/>
      <c r="AC43" s="22">
        <v>908</v>
      </c>
      <c r="AD43" s="18" t="s">
        <v>17</v>
      </c>
      <c r="AE43" s="18">
        <v>2014</v>
      </c>
      <c r="AF43" s="18" t="s">
        <v>27</v>
      </c>
      <c r="AG43" s="18">
        <v>47186.7</v>
      </c>
      <c r="AH43" s="18">
        <v>4088215.6</v>
      </c>
      <c r="AI43" s="18">
        <v>1.1542126105090899E-2</v>
      </c>
      <c r="AJ43" s="1"/>
      <c r="AK43" s="22">
        <v>2104</v>
      </c>
      <c r="AL43" s="1" t="s">
        <v>61</v>
      </c>
      <c r="AM43" s="1">
        <v>2014</v>
      </c>
      <c r="AN43" s="1" t="s">
        <v>27</v>
      </c>
      <c r="AO43" s="1">
        <v>633718.1</v>
      </c>
      <c r="AP43" s="1">
        <v>40350049.200000003</v>
      </c>
      <c r="AQ43" s="1">
        <v>1.57055099699853E-2</v>
      </c>
      <c r="AR43" s="1"/>
      <c r="AS43" s="22">
        <v>3300</v>
      </c>
      <c r="AT43" s="1" t="s">
        <v>44</v>
      </c>
      <c r="AU43" s="1">
        <v>2014</v>
      </c>
      <c r="AV43" s="1" t="s">
        <v>27</v>
      </c>
      <c r="AW43" s="1">
        <v>121975.1</v>
      </c>
      <c r="AX43" s="1">
        <v>6735816.8000000007</v>
      </c>
      <c r="AY43" s="1">
        <v>1.81084348968635E-2</v>
      </c>
      <c r="AZ43" s="1"/>
      <c r="BA43" s="22">
        <v>4496</v>
      </c>
      <c r="BB43" s="1" t="s">
        <v>38</v>
      </c>
      <c r="BC43" s="1">
        <v>2014</v>
      </c>
      <c r="BD43" s="1" t="s">
        <v>27</v>
      </c>
      <c r="BE43" s="1">
        <v>99856</v>
      </c>
      <c r="BF43" s="1">
        <v>6538596.7000000002</v>
      </c>
      <c r="BG43" s="1">
        <v>1.52717784230368E-2</v>
      </c>
      <c r="BH43" s="1"/>
      <c r="BI43" s="22">
        <v>5692</v>
      </c>
      <c r="BJ43" s="1" t="s">
        <v>31</v>
      </c>
      <c r="BK43" s="1">
        <v>2014</v>
      </c>
      <c r="BL43" s="1" t="s">
        <v>27</v>
      </c>
      <c r="BM43" s="1">
        <v>157817.60000000001</v>
      </c>
      <c r="BN43" s="1">
        <v>9155477.5</v>
      </c>
      <c r="BO43" s="1">
        <v>1.7237506181408801E-2</v>
      </c>
      <c r="BP43" s="1"/>
      <c r="BQ43" s="22">
        <v>6888</v>
      </c>
      <c r="BR43" s="1" t="s">
        <v>51</v>
      </c>
      <c r="BS43" s="1">
        <v>2014</v>
      </c>
      <c r="BT43" s="1" t="s">
        <v>27</v>
      </c>
      <c r="BU43" s="1">
        <v>69019.100000000006</v>
      </c>
      <c r="BV43" s="1">
        <v>4981875.5</v>
      </c>
      <c r="BW43" s="1">
        <v>1.38540395078118E-2</v>
      </c>
      <c r="BX43" s="1"/>
      <c r="BY43" s="22">
        <v>8084</v>
      </c>
      <c r="BZ43" s="1" t="s">
        <v>57</v>
      </c>
      <c r="CA43" s="1">
        <v>2014</v>
      </c>
      <c r="CB43" s="1" t="s">
        <v>27</v>
      </c>
      <c r="CC43" s="1">
        <v>175540.2</v>
      </c>
      <c r="CD43" s="1">
        <v>11026913.800000001</v>
      </c>
      <c r="CE43" s="1">
        <v>1.59192502257521E-2</v>
      </c>
      <c r="CF43" s="1"/>
      <c r="CG43" s="22">
        <v>954</v>
      </c>
      <c r="CH43" s="1" t="s">
        <v>17</v>
      </c>
      <c r="CI43" s="1">
        <v>2015</v>
      </c>
      <c r="CJ43" s="1" t="s">
        <v>27</v>
      </c>
      <c r="CK43" s="1">
        <v>43656.1</v>
      </c>
      <c r="CL43" s="1">
        <v>3555133.8</v>
      </c>
      <c r="CM43" s="1">
        <v>1.22797347317842E-2</v>
      </c>
      <c r="CN43" s="1"/>
      <c r="CO43" s="22">
        <v>2150</v>
      </c>
      <c r="CP43" s="1" t="s">
        <v>61</v>
      </c>
      <c r="CQ43" s="1">
        <v>2015</v>
      </c>
      <c r="CR43" s="1" t="s">
        <v>27</v>
      </c>
      <c r="CS43" s="1">
        <v>666455.69999999995</v>
      </c>
      <c r="CT43" s="1">
        <v>41208556.399999999</v>
      </c>
      <c r="CU43" s="1">
        <v>1.6172750472763401E-2</v>
      </c>
      <c r="CV43" s="1"/>
      <c r="CW43" s="22">
        <v>3346</v>
      </c>
      <c r="CX43" s="1" t="s">
        <v>44</v>
      </c>
      <c r="CY43" s="1">
        <v>2015</v>
      </c>
      <c r="CZ43" s="1" t="s">
        <v>27</v>
      </c>
      <c r="DA43" s="1">
        <v>118146.2</v>
      </c>
      <c r="DB43" s="1">
        <v>6404349.4000000004</v>
      </c>
      <c r="DC43" s="1">
        <v>1.84478067358411E-2</v>
      </c>
      <c r="DD43" s="1"/>
      <c r="DE43" s="22">
        <v>4542</v>
      </c>
      <c r="DF43" s="1" t="s">
        <v>38</v>
      </c>
      <c r="DG43" s="1">
        <v>2015</v>
      </c>
      <c r="DH43" s="1" t="s">
        <v>27</v>
      </c>
      <c r="DI43" s="1">
        <v>90246.3</v>
      </c>
      <c r="DJ43" s="1">
        <v>5531517.5999999996</v>
      </c>
      <c r="DK43" s="1">
        <v>1.63149259436506E-2</v>
      </c>
      <c r="DL43" s="1"/>
      <c r="DM43" s="22">
        <v>5738</v>
      </c>
      <c r="DN43" s="1" t="s">
        <v>31</v>
      </c>
      <c r="DO43" s="1">
        <v>2015</v>
      </c>
      <c r="DP43" s="1" t="s">
        <v>27</v>
      </c>
      <c r="DQ43" s="1">
        <v>134893.1</v>
      </c>
      <c r="DR43" s="1">
        <v>7894528</v>
      </c>
      <c r="DS43" s="1">
        <v>1.7086911339094599E-2</v>
      </c>
      <c r="DT43" s="1"/>
      <c r="DU43" s="22">
        <v>6934</v>
      </c>
      <c r="DV43" s="1" t="s">
        <v>51</v>
      </c>
      <c r="DW43" s="1">
        <v>2015</v>
      </c>
      <c r="DX43" s="1" t="s">
        <v>27</v>
      </c>
      <c r="DY43" s="1">
        <v>60503.1</v>
      </c>
      <c r="DZ43" s="1">
        <v>4209274.5999999996</v>
      </c>
      <c r="EA43" s="1">
        <v>1.43737593171041E-2</v>
      </c>
      <c r="EB43" s="1"/>
      <c r="EC43" s="22">
        <v>8130</v>
      </c>
      <c r="ED43" s="1" t="s">
        <v>57</v>
      </c>
      <c r="EE43" s="1">
        <v>2015</v>
      </c>
      <c r="EF43" s="1" t="s">
        <v>27</v>
      </c>
      <c r="EG43" s="1">
        <v>157993.4</v>
      </c>
      <c r="EH43" s="1">
        <v>9729477.0999999996</v>
      </c>
      <c r="EI43" s="1">
        <v>1.6238632187129499E-2</v>
      </c>
      <c r="EJ43" s="1"/>
      <c r="EK43" s="22">
        <v>1000</v>
      </c>
      <c r="EL43" s="1" t="s">
        <v>17</v>
      </c>
      <c r="EM43" s="1">
        <v>2016</v>
      </c>
      <c r="EN43" s="1" t="s">
        <v>27</v>
      </c>
      <c r="EO43" s="1">
        <v>45750.9</v>
      </c>
      <c r="EP43" s="1">
        <v>3463407</v>
      </c>
      <c r="EQ43" s="1">
        <v>1.3209796018775701E-2</v>
      </c>
      <c r="ER43" s="1"/>
      <c r="ES43" s="22">
        <v>2196</v>
      </c>
      <c r="ET43" s="1" t="s">
        <v>61</v>
      </c>
      <c r="EU43" s="1">
        <v>2016</v>
      </c>
      <c r="EV43" s="1" t="s">
        <v>27</v>
      </c>
      <c r="EW43" s="1">
        <v>725962.8</v>
      </c>
      <c r="EX43" s="1">
        <v>42141395.200000003</v>
      </c>
      <c r="EY43" s="1">
        <v>1.72268335339784E-2</v>
      </c>
      <c r="EZ43" s="1"/>
      <c r="FA43" s="22">
        <v>3392</v>
      </c>
      <c r="FB43" s="1" t="s">
        <v>44</v>
      </c>
      <c r="FC43" s="1">
        <v>2016</v>
      </c>
      <c r="FD43" s="1" t="s">
        <v>27</v>
      </c>
      <c r="FE43" s="1">
        <v>111766.8</v>
      </c>
      <c r="FF43" s="1">
        <v>5868597.7999999998</v>
      </c>
      <c r="FG43" s="1">
        <v>1.9044890075786001E-2</v>
      </c>
      <c r="FH43" s="1"/>
      <c r="FI43" s="22">
        <v>4588</v>
      </c>
      <c r="FJ43" s="1" t="s">
        <v>38</v>
      </c>
      <c r="FK43" s="1">
        <v>2016</v>
      </c>
      <c r="FL43" s="1" t="s">
        <v>27</v>
      </c>
      <c r="FM43" s="1">
        <v>96024.1</v>
      </c>
      <c r="FN43" s="1">
        <v>5582986.5</v>
      </c>
      <c r="FO43" s="1">
        <v>1.7199414686028699E-2</v>
      </c>
      <c r="FP43" s="1"/>
      <c r="FQ43" s="22">
        <v>5784</v>
      </c>
      <c r="FR43" s="1" t="s">
        <v>31</v>
      </c>
      <c r="FS43" s="1">
        <v>2016</v>
      </c>
      <c r="FT43" s="1" t="s">
        <v>27</v>
      </c>
      <c r="FU43" s="1">
        <v>140282.29999999999</v>
      </c>
      <c r="FV43" s="1">
        <v>8130820.9000000004</v>
      </c>
      <c r="FW43" s="1">
        <v>1.72531533685608E-2</v>
      </c>
      <c r="FX43" s="1"/>
      <c r="FY43" s="22">
        <v>6980</v>
      </c>
      <c r="FZ43" s="1" t="s">
        <v>51</v>
      </c>
      <c r="GA43" s="1">
        <v>2016</v>
      </c>
      <c r="GB43" s="1" t="s">
        <v>27</v>
      </c>
      <c r="GC43" s="1">
        <v>63838</v>
      </c>
      <c r="GD43" s="1">
        <v>4230502.5999999996</v>
      </c>
      <c r="GE43" s="1">
        <v>1.5089932813183901E-2</v>
      </c>
      <c r="GF43" s="1"/>
      <c r="GG43" s="22">
        <v>8176</v>
      </c>
      <c r="GH43" s="1" t="s">
        <v>57</v>
      </c>
      <c r="GI43" s="1">
        <v>2016</v>
      </c>
      <c r="GJ43" s="1" t="s">
        <v>27</v>
      </c>
      <c r="GK43" s="1">
        <v>177623.1</v>
      </c>
      <c r="GL43" s="1">
        <v>10773649.5</v>
      </c>
      <c r="GM43" s="1">
        <v>1.64868088571101E-2</v>
      </c>
      <c r="GN43" s="1"/>
      <c r="GO43" s="22">
        <v>1046</v>
      </c>
      <c r="GP43" s="1" t="s">
        <v>17</v>
      </c>
      <c r="GQ43" s="1">
        <v>2017</v>
      </c>
      <c r="GR43" s="1" t="s">
        <v>27</v>
      </c>
      <c r="GS43" s="1">
        <v>50242.1</v>
      </c>
      <c r="GT43" s="1">
        <v>3719735.5</v>
      </c>
      <c r="GU43" s="1">
        <v>1.35069012299396E-2</v>
      </c>
      <c r="GV43" s="1"/>
      <c r="GW43" s="22">
        <v>2242</v>
      </c>
      <c r="GX43" s="1" t="s">
        <v>61</v>
      </c>
      <c r="GY43" s="1">
        <v>2017</v>
      </c>
      <c r="GZ43" s="1" t="s">
        <v>27</v>
      </c>
      <c r="HA43" s="1">
        <v>799456.4</v>
      </c>
      <c r="HB43" s="1">
        <v>44107004.100000001</v>
      </c>
      <c r="HC43" s="1">
        <v>1.8125384308293999E-2</v>
      </c>
      <c r="HD43" s="1"/>
      <c r="HE43" s="22">
        <v>3438</v>
      </c>
      <c r="HF43" s="1" t="s">
        <v>44</v>
      </c>
      <c r="HG43" s="1">
        <v>2017</v>
      </c>
      <c r="HH43" s="1" t="s">
        <v>27</v>
      </c>
      <c r="HI43" s="1">
        <v>117881.1</v>
      </c>
      <c r="HJ43" s="1">
        <v>5855367.5</v>
      </c>
      <c r="HK43" s="1">
        <v>2.0132143712585E-2</v>
      </c>
      <c r="HL43" s="1"/>
      <c r="HM43" s="22">
        <v>4634</v>
      </c>
      <c r="HN43" s="1" t="s">
        <v>38</v>
      </c>
      <c r="HO43" s="1">
        <v>2017</v>
      </c>
      <c r="HP43" s="1" t="s">
        <v>27</v>
      </c>
      <c r="HQ43" s="1">
        <v>104631.1</v>
      </c>
      <c r="HR43" s="1">
        <v>5923445.7000000002</v>
      </c>
      <c r="HS43" s="1">
        <v>1.7663891136876601E-2</v>
      </c>
      <c r="HT43" s="1"/>
      <c r="HU43" s="22">
        <v>5830</v>
      </c>
      <c r="HV43" s="1" t="s">
        <v>31</v>
      </c>
      <c r="HW43" s="1">
        <v>2017</v>
      </c>
      <c r="HX43" s="1" t="s">
        <v>27</v>
      </c>
      <c r="HY43" s="1">
        <v>154833.70000000001</v>
      </c>
      <c r="HZ43" s="1">
        <v>8686095.3000000007</v>
      </c>
      <c r="IA43" s="1">
        <v>1.7825466409515399E-2</v>
      </c>
      <c r="IB43" s="1"/>
      <c r="IC43" s="22">
        <v>7026</v>
      </c>
      <c r="ID43" s="1" t="s">
        <v>51</v>
      </c>
      <c r="IE43" s="1">
        <v>2017</v>
      </c>
      <c r="IF43" s="1" t="s">
        <v>27</v>
      </c>
      <c r="IG43" s="1">
        <v>69025.2</v>
      </c>
      <c r="IH43" s="1">
        <v>4472691.8</v>
      </c>
      <c r="II43" s="1">
        <v>1.54325858088411E-2</v>
      </c>
      <c r="IJ43" s="1"/>
      <c r="IK43" s="22">
        <v>8222</v>
      </c>
      <c r="IL43" s="1" t="s">
        <v>57</v>
      </c>
      <c r="IM43" s="1">
        <v>2017</v>
      </c>
      <c r="IN43" s="1" t="s">
        <v>27</v>
      </c>
      <c r="IO43" s="1">
        <v>176630</v>
      </c>
      <c r="IP43" s="1">
        <v>10750260.5</v>
      </c>
      <c r="IQ43" s="1">
        <v>1.6430299526229999E-2</v>
      </c>
      <c r="IR43" s="1"/>
      <c r="IS43" s="22">
        <v>1092</v>
      </c>
      <c r="IT43" s="1" t="s">
        <v>17</v>
      </c>
      <c r="IU43" s="1">
        <v>2018</v>
      </c>
      <c r="IV43" s="1" t="s">
        <v>27</v>
      </c>
      <c r="IW43" s="1">
        <v>55061.8</v>
      </c>
      <c r="IX43" s="1">
        <v>3904165.4</v>
      </c>
      <c r="IY43" s="1">
        <v>1.4103347158396499E-2</v>
      </c>
      <c r="IZ43" s="1"/>
      <c r="JA43" s="22">
        <v>2288</v>
      </c>
      <c r="JB43" s="1" t="s">
        <v>61</v>
      </c>
      <c r="JC43" s="1">
        <v>2018</v>
      </c>
      <c r="JD43" s="1" t="s">
        <v>27</v>
      </c>
      <c r="JE43" s="1">
        <v>894472.7</v>
      </c>
      <c r="JF43" s="1">
        <v>46669099.200000003</v>
      </c>
      <c r="JG43" s="1">
        <v>1.91662730871822E-2</v>
      </c>
      <c r="JH43" s="1"/>
      <c r="JI43" s="22">
        <v>3484</v>
      </c>
      <c r="JJ43" s="1" t="s">
        <v>44</v>
      </c>
      <c r="JK43" s="1">
        <v>2018</v>
      </c>
      <c r="JL43" s="1" t="s">
        <v>27</v>
      </c>
      <c r="JM43" s="1">
        <v>132303.79999999999</v>
      </c>
      <c r="JN43" s="1">
        <v>6336724.7000000002</v>
      </c>
      <c r="JO43" s="1">
        <v>2.0878893476309598E-2</v>
      </c>
      <c r="JP43" s="1"/>
      <c r="JQ43" s="22">
        <v>4680</v>
      </c>
      <c r="JR43" s="1" t="s">
        <v>38</v>
      </c>
      <c r="JS43" s="1">
        <v>2018</v>
      </c>
      <c r="JT43" s="1" t="s">
        <v>27</v>
      </c>
      <c r="JU43" s="1">
        <v>118898</v>
      </c>
      <c r="JV43" s="1">
        <v>6390706</v>
      </c>
      <c r="JW43" s="1">
        <v>1.8604830201858699E-2</v>
      </c>
      <c r="JX43" s="1"/>
      <c r="JY43" s="22">
        <v>5876</v>
      </c>
      <c r="JZ43" s="1" t="s">
        <v>31</v>
      </c>
      <c r="KA43" s="1">
        <v>2018</v>
      </c>
      <c r="KB43" s="1" t="s">
        <v>27</v>
      </c>
      <c r="KC43" s="1">
        <v>184787.4</v>
      </c>
      <c r="KD43" s="1">
        <v>9443218.3000000007</v>
      </c>
      <c r="KE43" s="1">
        <v>1.9568265196198999E-2</v>
      </c>
      <c r="KF43" s="1"/>
      <c r="KG43" s="22">
        <v>7072</v>
      </c>
      <c r="KH43" s="1" t="s">
        <v>51</v>
      </c>
      <c r="KI43" s="1">
        <v>2018</v>
      </c>
      <c r="KJ43" s="1" t="s">
        <v>27</v>
      </c>
      <c r="KK43" s="1">
        <v>74777.899999999994</v>
      </c>
      <c r="KL43" s="1">
        <v>4803387.8</v>
      </c>
      <c r="KM43" s="1">
        <v>1.55677415843875E-2</v>
      </c>
      <c r="KN43" s="1"/>
      <c r="KO43" s="22">
        <v>8268</v>
      </c>
      <c r="KP43" s="1" t="s">
        <v>57</v>
      </c>
      <c r="KQ43" s="1">
        <v>2018</v>
      </c>
      <c r="KR43" s="1" t="s">
        <v>27</v>
      </c>
      <c r="KS43" s="1">
        <v>180574.1</v>
      </c>
      <c r="KT43" s="1">
        <v>11172914.4</v>
      </c>
      <c r="KU43" s="1">
        <v>1.6161772437816201E-2</v>
      </c>
      <c r="KV43" s="1"/>
      <c r="KW43" s="22">
        <v>1138</v>
      </c>
      <c r="KX43" s="1" t="s">
        <v>17</v>
      </c>
      <c r="KY43" s="1">
        <v>2019</v>
      </c>
      <c r="KZ43" s="1" t="s">
        <v>27</v>
      </c>
      <c r="LA43" s="1">
        <v>57590.5</v>
      </c>
      <c r="LB43" s="1">
        <v>3955328</v>
      </c>
      <c r="LC43" s="1">
        <v>1.45602336898482E-2</v>
      </c>
      <c r="LD43" s="1"/>
      <c r="LE43" s="22">
        <v>2334</v>
      </c>
      <c r="LF43" s="1" t="s">
        <v>61</v>
      </c>
      <c r="LG43" s="1">
        <v>2019</v>
      </c>
      <c r="LH43" s="1" t="s">
        <v>27</v>
      </c>
      <c r="LI43" s="1">
        <v>959711.6</v>
      </c>
      <c r="LJ43" s="1">
        <v>48356774.5</v>
      </c>
      <c r="LK43" s="1">
        <v>1.98464767330583E-2</v>
      </c>
      <c r="LL43" s="1"/>
      <c r="LM43" s="22">
        <v>3530</v>
      </c>
      <c r="LN43" s="1" t="s">
        <v>44</v>
      </c>
      <c r="LO43" s="1">
        <v>2019</v>
      </c>
      <c r="LP43" s="1" t="s">
        <v>27</v>
      </c>
      <c r="LQ43" s="1">
        <v>135103.1</v>
      </c>
      <c r="LR43" s="1">
        <v>6269787.0999999996</v>
      </c>
      <c r="LS43" s="1">
        <v>2.1548275538734001E-2</v>
      </c>
      <c r="LT43" s="1"/>
      <c r="LU43" s="22">
        <v>4726</v>
      </c>
      <c r="LV43" s="1" t="s">
        <v>38</v>
      </c>
      <c r="LW43" s="1">
        <v>2019</v>
      </c>
      <c r="LX43" s="1" t="s">
        <v>27</v>
      </c>
      <c r="LY43" s="1">
        <v>121375.9</v>
      </c>
      <c r="LZ43" s="1">
        <v>6182094.5</v>
      </c>
      <c r="MA43" s="1">
        <v>1.96334591779533E-2</v>
      </c>
      <c r="MB43" s="1"/>
      <c r="MC43" s="22">
        <v>5922</v>
      </c>
      <c r="MD43" s="1" t="s">
        <v>31</v>
      </c>
      <c r="ME43" s="1">
        <v>2019</v>
      </c>
      <c r="MF43" s="1" t="s">
        <v>27</v>
      </c>
      <c r="MG43" s="1">
        <v>188462.7</v>
      </c>
      <c r="MH43" s="1">
        <v>9237079</v>
      </c>
      <c r="MI43" s="1">
        <v>2.0402845964617101E-2</v>
      </c>
      <c r="MJ43" s="1"/>
      <c r="MK43" s="22">
        <v>7118</v>
      </c>
      <c r="ML43" s="1" t="s">
        <v>51</v>
      </c>
      <c r="MM43" s="1">
        <v>2019</v>
      </c>
      <c r="MN43" s="1" t="s">
        <v>27</v>
      </c>
      <c r="MO43" s="1">
        <v>71830.600000000006</v>
      </c>
      <c r="MP43" s="1">
        <v>4608662</v>
      </c>
      <c r="MQ43" s="1">
        <v>1.55859987128585E-2</v>
      </c>
      <c r="MR43" s="1"/>
      <c r="MS43" s="22">
        <v>8314</v>
      </c>
      <c r="MT43" s="1" t="s">
        <v>57</v>
      </c>
      <c r="MU43" s="1">
        <v>2019</v>
      </c>
      <c r="MV43" s="1" t="s">
        <v>27</v>
      </c>
      <c r="MW43" s="1">
        <v>188530.5</v>
      </c>
      <c r="MX43" s="1">
        <v>11338077</v>
      </c>
      <c r="MY43" s="1">
        <v>1.6628084286250601E-2</v>
      </c>
      <c r="MZ43" s="1"/>
      <c r="NA43" s="22">
        <v>1184</v>
      </c>
      <c r="NB43" s="1" t="s">
        <v>17</v>
      </c>
      <c r="NC43" s="1">
        <v>2020</v>
      </c>
      <c r="ND43" s="1" t="s">
        <v>27</v>
      </c>
      <c r="NE43" s="1">
        <v>62261.5</v>
      </c>
      <c r="NF43" s="1">
        <v>3784752.3</v>
      </c>
      <c r="NG43" s="1">
        <v>1.6450614218531501E-2</v>
      </c>
      <c r="NH43" s="1"/>
      <c r="NI43" s="22">
        <v>2380</v>
      </c>
      <c r="NJ43" s="1" t="s">
        <v>61</v>
      </c>
      <c r="NK43" s="1">
        <v>2020</v>
      </c>
      <c r="NL43" s="1" t="s">
        <v>27</v>
      </c>
      <c r="NM43" s="1">
        <v>1019696.6</v>
      </c>
      <c r="NN43" s="1">
        <v>47421769.399999999</v>
      </c>
      <c r="NO43" s="1">
        <v>2.15027109469264E-2</v>
      </c>
      <c r="NP43" s="1"/>
      <c r="NQ43" s="22">
        <v>3576</v>
      </c>
      <c r="NR43" s="1" t="s">
        <v>44</v>
      </c>
      <c r="NS43" s="1">
        <v>2020</v>
      </c>
      <c r="NT43" s="1" t="s">
        <v>27</v>
      </c>
      <c r="NU43" s="1">
        <v>137562.79999999999</v>
      </c>
      <c r="NV43" s="1">
        <v>5955345.3666666672</v>
      </c>
      <c r="NW43" s="1">
        <v>2.3099046575865801E-2</v>
      </c>
      <c r="NX43" s="1"/>
      <c r="NY43" s="22">
        <v>4772</v>
      </c>
      <c r="NZ43" s="1" t="s">
        <v>38</v>
      </c>
      <c r="OA43" s="1">
        <v>2020</v>
      </c>
      <c r="OB43" s="1" t="s">
        <v>27</v>
      </c>
      <c r="OC43" s="1">
        <v>129613.7</v>
      </c>
      <c r="OD43" s="1">
        <v>5990228.4000000004</v>
      </c>
      <c r="OE43" s="1">
        <v>2.1637522201991399E-2</v>
      </c>
      <c r="OF43" s="1"/>
      <c r="OG43" s="22">
        <v>5968</v>
      </c>
      <c r="OH43" s="1" t="s">
        <v>31</v>
      </c>
      <c r="OI43" s="1">
        <v>2020</v>
      </c>
      <c r="OJ43" s="1" t="s">
        <v>27</v>
      </c>
      <c r="OK43" s="1">
        <v>196051.6</v>
      </c>
      <c r="OL43" s="1">
        <v>9257180.0999999996</v>
      </c>
      <c r="OM43" s="1">
        <v>2.11783283766943E-2</v>
      </c>
      <c r="ON43" s="1"/>
      <c r="OO43" s="22">
        <v>7164</v>
      </c>
      <c r="OP43" s="1" t="s">
        <v>51</v>
      </c>
      <c r="OQ43" s="1">
        <v>2020</v>
      </c>
      <c r="OR43" s="1" t="s">
        <v>27</v>
      </c>
      <c r="OS43" s="1">
        <v>73180.3</v>
      </c>
      <c r="OT43" s="1">
        <v>4352046.4000000004</v>
      </c>
      <c r="OU43" s="1">
        <v>1.68151470076238E-2</v>
      </c>
      <c r="OV43" s="1"/>
      <c r="OW43" s="22">
        <v>8360</v>
      </c>
      <c r="OX43" s="1" t="s">
        <v>57</v>
      </c>
      <c r="OY43" s="1">
        <v>2020</v>
      </c>
      <c r="OZ43" s="1" t="s">
        <v>27</v>
      </c>
      <c r="PA43" s="1">
        <v>187895.1</v>
      </c>
      <c r="PB43" s="1">
        <v>11082248.733333331</v>
      </c>
      <c r="PC43" s="1">
        <v>1.6954600507643001E-2</v>
      </c>
      <c r="PD43" s="1"/>
      <c r="PE43" s="22">
        <v>8406</v>
      </c>
      <c r="PF43" s="1" t="s">
        <v>17</v>
      </c>
      <c r="PG43" s="1">
        <v>2021</v>
      </c>
      <c r="PH43" s="1" t="s">
        <v>27</v>
      </c>
      <c r="PI43" s="1">
        <v>76051.176779329093</v>
      </c>
      <c r="PJ43" s="1">
        <v>4622999.2247741111</v>
      </c>
      <c r="PK43" s="1">
        <v>1.6450614218531501E-2</v>
      </c>
      <c r="PL43" s="1"/>
      <c r="PM43" s="22">
        <v>9326</v>
      </c>
      <c r="PN43" s="1" t="s">
        <v>61</v>
      </c>
      <c r="PO43" s="1">
        <v>2021</v>
      </c>
      <c r="PP43" s="1" t="s">
        <v>27</v>
      </c>
      <c r="PQ43" s="1">
        <v>1130819.801533194</v>
      </c>
      <c r="PR43" s="1">
        <v>52589638.782026872</v>
      </c>
      <c r="PS43" s="1">
        <v>2.15027109469264E-2</v>
      </c>
      <c r="PT43" s="1"/>
      <c r="PU43" s="22">
        <v>10246</v>
      </c>
      <c r="PV43" s="1" t="s">
        <v>44</v>
      </c>
      <c r="PW43" s="1">
        <v>2021</v>
      </c>
      <c r="PX43" s="1" t="s">
        <v>27</v>
      </c>
      <c r="PY43" s="1">
        <v>160340.81404341469</v>
      </c>
      <c r="PZ43" s="1">
        <v>6941447.2808129201</v>
      </c>
      <c r="QA43" s="1">
        <v>2.3099046575865801E-2</v>
      </c>
      <c r="QB43" s="1"/>
      <c r="QC43" s="22">
        <v>11166</v>
      </c>
      <c r="QD43" s="1" t="s">
        <v>38</v>
      </c>
      <c r="QE43" s="1">
        <v>2021</v>
      </c>
      <c r="QF43" s="1" t="s">
        <v>27</v>
      </c>
      <c r="QG43" s="1">
        <v>145203.97748089951</v>
      </c>
      <c r="QH43" s="1">
        <v>6710748.8614170318</v>
      </c>
      <c r="QI43" s="1">
        <v>2.1637522201991399E-2</v>
      </c>
      <c r="QJ43" s="1"/>
      <c r="QK43" s="22">
        <v>12086</v>
      </c>
      <c r="QL43" s="1" t="s">
        <v>31</v>
      </c>
      <c r="QM43" s="1">
        <v>2021</v>
      </c>
      <c r="QN43" s="1" t="s">
        <v>27</v>
      </c>
      <c r="QO43" s="1">
        <v>216360.62989639939</v>
      </c>
      <c r="QP43" s="1">
        <v>10216133.49495957</v>
      </c>
      <c r="QQ43" s="1">
        <v>2.11783283766943E-2</v>
      </c>
      <c r="QR43" s="1"/>
      <c r="QS43" s="22">
        <v>13006</v>
      </c>
      <c r="QT43" s="1" t="s">
        <v>51</v>
      </c>
      <c r="QU43" s="1">
        <v>2021</v>
      </c>
      <c r="QV43" s="1" t="s">
        <v>27</v>
      </c>
      <c r="QW43" s="1">
        <v>83605.197204164593</v>
      </c>
      <c r="QX43" s="1">
        <v>4972017.0252605537</v>
      </c>
      <c r="QY43" s="1">
        <v>1.68151470076238E-2</v>
      </c>
      <c r="QZ43" s="1"/>
      <c r="RA43" s="22">
        <v>13926</v>
      </c>
      <c r="RB43" s="1" t="s">
        <v>57</v>
      </c>
      <c r="RC43" s="1">
        <v>2021</v>
      </c>
      <c r="RD43" s="1" t="s">
        <v>27</v>
      </c>
      <c r="RE43" s="1">
        <v>187340.41933827521</v>
      </c>
      <c r="RF43" s="1">
        <v>11049533.09007922</v>
      </c>
      <c r="RG43" s="1">
        <v>1.6954600507643001E-2</v>
      </c>
      <c r="RH43" s="1"/>
      <c r="RI43" s="22">
        <v>8452</v>
      </c>
      <c r="RJ43" s="1" t="s">
        <v>17</v>
      </c>
      <c r="RK43" s="1">
        <v>2022</v>
      </c>
      <c r="RL43" s="1" t="s">
        <v>27</v>
      </c>
      <c r="RM43" s="1">
        <v>82369.909774231477</v>
      </c>
      <c r="RN43" s="1">
        <v>5007102.3902221443</v>
      </c>
      <c r="RO43" s="1">
        <v>1.6450614218531501E-2</v>
      </c>
      <c r="RP43" s="1"/>
      <c r="RQ43" s="22">
        <v>9372</v>
      </c>
      <c r="RR43" s="1" t="s">
        <v>61</v>
      </c>
      <c r="RS43" s="1">
        <v>2022</v>
      </c>
      <c r="RT43" s="1" t="s">
        <v>27</v>
      </c>
      <c r="RU43" s="1">
        <v>1241876.1505537571</v>
      </c>
      <c r="RV43" s="1">
        <v>57754399.13688051</v>
      </c>
      <c r="RW43" s="1">
        <v>2.15027109469264E-2</v>
      </c>
      <c r="RX43" s="1"/>
      <c r="RY43" s="22">
        <v>10292</v>
      </c>
      <c r="RZ43" s="1" t="s">
        <v>44</v>
      </c>
      <c r="SA43" s="1">
        <v>2022</v>
      </c>
      <c r="SB43" s="1" t="s">
        <v>27</v>
      </c>
      <c r="SC43" s="1">
        <v>158847.24067665881</v>
      </c>
      <c r="SD43" s="1">
        <v>6876787.7563667288</v>
      </c>
      <c r="SE43" s="1">
        <v>2.3099046575865801E-2</v>
      </c>
      <c r="SF43" s="1"/>
      <c r="SG43" s="22">
        <v>11212</v>
      </c>
      <c r="SH43" s="1" t="s">
        <v>38</v>
      </c>
      <c r="SI43" s="1">
        <v>2022</v>
      </c>
      <c r="SJ43" s="1" t="s">
        <v>27</v>
      </c>
      <c r="SK43" s="1">
        <v>136876.2729037393</v>
      </c>
      <c r="SL43" s="1">
        <v>6325875.5612572851</v>
      </c>
      <c r="SM43" s="1">
        <v>2.1637522201991399E-2</v>
      </c>
      <c r="SN43" s="1"/>
      <c r="SO43" s="22">
        <v>12132</v>
      </c>
      <c r="SP43" s="1" t="s">
        <v>31</v>
      </c>
      <c r="SQ43" s="1">
        <v>2022</v>
      </c>
      <c r="SR43" s="1" t="s">
        <v>27</v>
      </c>
      <c r="SS43" s="1">
        <v>207170.4157111166</v>
      </c>
      <c r="ST43" s="1">
        <v>9782189.227885304</v>
      </c>
      <c r="SU43" s="1">
        <v>2.11783283766943E-2</v>
      </c>
      <c r="SV43" s="1"/>
      <c r="SW43" s="22">
        <v>13052</v>
      </c>
      <c r="SX43" s="1" t="s">
        <v>51</v>
      </c>
      <c r="SY43" s="1">
        <v>2022</v>
      </c>
      <c r="SZ43" s="1" t="s">
        <v>27</v>
      </c>
      <c r="TA43" s="1">
        <v>80722.457808731851</v>
      </c>
      <c r="TB43" s="1">
        <v>4800579.963537232</v>
      </c>
      <c r="TC43" s="1">
        <v>1.68151470076238E-2</v>
      </c>
      <c r="TD43" s="1"/>
      <c r="TE43" s="22">
        <v>13972</v>
      </c>
      <c r="TF43" s="1" t="s">
        <v>57</v>
      </c>
      <c r="TG43" s="1">
        <v>2022</v>
      </c>
      <c r="TH43" s="1" t="s">
        <v>27</v>
      </c>
      <c r="TI43" s="1">
        <v>158465.42448877779</v>
      </c>
      <c r="TJ43" s="1">
        <v>9346455.8140041605</v>
      </c>
      <c r="TK43" s="1">
        <v>1.6954600507643001E-2</v>
      </c>
      <c r="TL43" s="1"/>
      <c r="TM43" s="22">
        <v>8498</v>
      </c>
      <c r="TN43" s="1" t="s">
        <v>17</v>
      </c>
      <c r="TO43" s="1">
        <v>2023</v>
      </c>
      <c r="TP43" s="1" t="s">
        <v>27</v>
      </c>
      <c r="TQ43" s="1">
        <v>81727.99599560276</v>
      </c>
      <c r="TR43" s="1">
        <v>4968081.7329930915</v>
      </c>
      <c r="TS43" s="1">
        <v>1.6450614218531501E-2</v>
      </c>
      <c r="TT43" s="1"/>
      <c r="TU43" s="22">
        <v>9418</v>
      </c>
      <c r="TV43" s="1" t="s">
        <v>61</v>
      </c>
      <c r="TW43" s="1">
        <v>2023</v>
      </c>
      <c r="TX43" s="1" t="s">
        <v>27</v>
      </c>
      <c r="TY43" s="1">
        <v>1323713.17637456</v>
      </c>
      <c r="TZ43" s="1">
        <v>61560292.543660469</v>
      </c>
      <c r="UA43" s="1">
        <v>2.15027109469264E-2</v>
      </c>
      <c r="UB43" s="1"/>
      <c r="UC43" s="22">
        <v>10338</v>
      </c>
      <c r="UD43" s="1" t="s">
        <v>44</v>
      </c>
      <c r="UE43" s="1">
        <v>2023</v>
      </c>
      <c r="UF43" s="1" t="s">
        <v>27</v>
      </c>
      <c r="UG43" s="1">
        <v>171896.62382841751</v>
      </c>
      <c r="UH43" s="1">
        <v>7441719.4347760417</v>
      </c>
      <c r="UI43" s="1">
        <v>2.3099046575865801E-2</v>
      </c>
      <c r="UJ43" s="1"/>
      <c r="UK43" s="22">
        <v>11258</v>
      </c>
      <c r="UL43" s="1" t="s">
        <v>38</v>
      </c>
      <c r="UM43" s="1">
        <v>2023</v>
      </c>
      <c r="UN43" s="1" t="s">
        <v>27</v>
      </c>
      <c r="UO43" s="1">
        <v>149384.22770654751</v>
      </c>
      <c r="UP43" s="1">
        <v>6903943.3587640161</v>
      </c>
      <c r="UQ43" s="1">
        <v>2.1637522201991399E-2</v>
      </c>
      <c r="UR43" s="1"/>
      <c r="US43" s="22">
        <v>12178</v>
      </c>
      <c r="UT43" s="1" t="s">
        <v>31</v>
      </c>
      <c r="UU43" s="1">
        <v>2023</v>
      </c>
      <c r="UV43" s="1" t="s">
        <v>27</v>
      </c>
      <c r="UW43" s="1">
        <v>225187.61417614581</v>
      </c>
      <c r="UX43" s="1">
        <v>10632926.743356841</v>
      </c>
      <c r="UY43" s="1">
        <v>2.11783283766943E-2</v>
      </c>
      <c r="UZ43" s="1"/>
      <c r="VA43" s="22">
        <v>13098</v>
      </c>
      <c r="VB43" s="1" t="s">
        <v>51</v>
      </c>
      <c r="VC43" s="1">
        <v>2023</v>
      </c>
      <c r="VD43" s="1" t="s">
        <v>27</v>
      </c>
      <c r="VE43" s="1">
        <v>88416.157015014483</v>
      </c>
      <c r="VF43" s="1">
        <v>5258125.7228930313</v>
      </c>
      <c r="VG43" s="1">
        <v>1.68151470076238E-2</v>
      </c>
      <c r="VH43" s="1"/>
      <c r="VI43" s="22">
        <v>14018</v>
      </c>
      <c r="VJ43" s="1" t="s">
        <v>57</v>
      </c>
      <c r="VK43" s="1">
        <v>2023</v>
      </c>
      <c r="VL43" s="1" t="s">
        <v>27</v>
      </c>
      <c r="VM43" s="1">
        <v>156632.9707477334</v>
      </c>
      <c r="VN43" s="1">
        <v>9238375.7834414635</v>
      </c>
      <c r="VO43" s="1">
        <v>1.6954600507643001E-2</v>
      </c>
      <c r="VP43" s="1"/>
      <c r="VQ43" s="22">
        <v>8544</v>
      </c>
      <c r="VR43" s="1" t="s">
        <v>17</v>
      </c>
      <c r="VS43" s="1">
        <v>2024</v>
      </c>
      <c r="VT43" s="1" t="s">
        <v>27</v>
      </c>
      <c r="VU43" s="1">
        <v>84281.737337528728</v>
      </c>
      <c r="VV43" s="1">
        <v>5123318.5714479852</v>
      </c>
      <c r="VW43" s="1">
        <v>1.6450614218531501E-2</v>
      </c>
      <c r="VX43" s="1"/>
      <c r="VY43" s="22">
        <v>9464</v>
      </c>
      <c r="VZ43" s="1" t="s">
        <v>61</v>
      </c>
      <c r="WA43" s="1">
        <v>2024</v>
      </c>
      <c r="WB43" s="1" t="s">
        <v>27</v>
      </c>
      <c r="WC43" s="1">
        <v>1393631.3542289289</v>
      </c>
      <c r="WD43" s="1">
        <v>64811890.820126347</v>
      </c>
      <c r="WE43" s="1">
        <v>2.15027109469264E-2</v>
      </c>
      <c r="WF43" s="1"/>
      <c r="WG43" s="22">
        <v>10384</v>
      </c>
      <c r="WH43" s="1" t="s">
        <v>44</v>
      </c>
      <c r="WI43" s="1">
        <v>2024</v>
      </c>
      <c r="WJ43" s="1" t="s">
        <v>27</v>
      </c>
      <c r="WK43" s="1">
        <v>185871.83883149529</v>
      </c>
      <c r="WL43" s="1">
        <v>8046732.0684004631</v>
      </c>
      <c r="WM43" s="1">
        <v>2.3099046575865801E-2</v>
      </c>
      <c r="WN43" s="1"/>
      <c r="WO43" s="22">
        <v>11304</v>
      </c>
      <c r="WP43" s="1" t="s">
        <v>38</v>
      </c>
      <c r="WQ43" s="1">
        <v>2024</v>
      </c>
      <c r="WR43" s="1" t="s">
        <v>27</v>
      </c>
      <c r="WS43" s="1">
        <v>154780.86221916671</v>
      </c>
      <c r="WT43" s="1">
        <v>7153354.2877160665</v>
      </c>
      <c r="WU43" s="1">
        <v>2.1637522201991399E-2</v>
      </c>
      <c r="WV43" s="1"/>
      <c r="WW43" s="22">
        <v>12224</v>
      </c>
      <c r="WX43" s="1" t="s">
        <v>31</v>
      </c>
      <c r="WY43" s="1">
        <v>2024</v>
      </c>
      <c r="WZ43" s="1" t="s">
        <v>27</v>
      </c>
      <c r="XA43" s="1">
        <v>231866.566261097</v>
      </c>
      <c r="XB43" s="1">
        <v>10948294.03609846</v>
      </c>
      <c r="XC43" s="1">
        <v>2.11783283766943E-2</v>
      </c>
      <c r="XD43" s="1"/>
      <c r="XE43" s="22">
        <v>13144</v>
      </c>
      <c r="XF43" s="1" t="s">
        <v>51</v>
      </c>
      <c r="XG43" s="1">
        <v>2024</v>
      </c>
      <c r="XH43" s="1" t="s">
        <v>27</v>
      </c>
      <c r="XI43" s="1">
        <v>91031.109333256361</v>
      </c>
      <c r="XJ43" s="1">
        <v>5413637.436055948</v>
      </c>
      <c r="XK43" s="1">
        <v>1.68151470076238E-2</v>
      </c>
      <c r="XL43" s="1"/>
      <c r="XM43" s="22">
        <v>14064</v>
      </c>
      <c r="XN43" s="1" t="s">
        <v>57</v>
      </c>
      <c r="XO43" s="1">
        <v>2024</v>
      </c>
      <c r="XP43" s="1" t="s">
        <v>27</v>
      </c>
      <c r="XQ43" s="1">
        <v>149682.3610616785</v>
      </c>
      <c r="XR43" s="1">
        <v>8828421.583522588</v>
      </c>
      <c r="XS43" s="1">
        <v>1.6954600507643001E-2</v>
      </c>
      <c r="XT43" s="1"/>
    </row>
    <row r="44" spans="1:644" x14ac:dyDescent="0.25">
      <c r="A44" s="2">
        <v>35</v>
      </c>
      <c r="B44" s="1" t="s">
        <v>17</v>
      </c>
      <c r="C44" s="18" t="s">
        <v>27</v>
      </c>
      <c r="D44" s="18">
        <v>1.1542126105090931E-2</v>
      </c>
      <c r="E44" s="18">
        <v>1.2279734731784221E-2</v>
      </c>
      <c r="F44" s="18">
        <v>1.320979601877573E-2</v>
      </c>
      <c r="G44" s="18">
        <v>1.35069012299396E-2</v>
      </c>
      <c r="H44" s="18">
        <v>1.410334715839652E-2</v>
      </c>
      <c r="I44" s="18">
        <v>1.4560233689848221E-2</v>
      </c>
      <c r="J44" s="18">
        <v>1.6450614218531549E-2</v>
      </c>
      <c r="K44" s="18">
        <v>1.6450614218531528E-2</v>
      </c>
      <c r="L44" s="18">
        <v>1.6450614218531539E-2</v>
      </c>
      <c r="M44" s="18">
        <v>1.6450614218531539E-2</v>
      </c>
      <c r="N44" s="18">
        <v>1.6450614218531539E-2</v>
      </c>
      <c r="O44" s="18">
        <v>1.4677746366044809E-2</v>
      </c>
      <c r="P44" s="1"/>
      <c r="Q44" s="2">
        <v>268</v>
      </c>
      <c r="R44" s="1" t="s">
        <v>57</v>
      </c>
      <c r="S44" s="1" t="s">
        <v>29</v>
      </c>
      <c r="T44" s="1">
        <v>3.2153285242908551E-2</v>
      </c>
      <c r="U44" s="1"/>
      <c r="AC44" s="22">
        <v>909</v>
      </c>
      <c r="AD44" s="1" t="s">
        <v>17</v>
      </c>
      <c r="AE44" s="1">
        <v>2014</v>
      </c>
      <c r="AF44" s="1" t="s">
        <v>60</v>
      </c>
      <c r="AG44" s="1">
        <v>218586.5</v>
      </c>
      <c r="AH44" s="1">
        <v>4088215.6</v>
      </c>
      <c r="AI44" s="1">
        <v>5.3467459005831199E-2</v>
      </c>
      <c r="AJ44" s="1"/>
      <c r="AK44" s="22">
        <v>2105</v>
      </c>
      <c r="AL44" s="1" t="s">
        <v>61</v>
      </c>
      <c r="AM44" s="1">
        <v>2014</v>
      </c>
      <c r="AN44" s="1" t="s">
        <v>60</v>
      </c>
      <c r="AO44" s="1">
        <v>2432247.2000000002</v>
      </c>
      <c r="AP44" s="1">
        <v>40350049.200000003</v>
      </c>
      <c r="AQ44" s="1">
        <v>6.0278667516469799E-2</v>
      </c>
      <c r="AR44" s="1"/>
      <c r="AS44" s="22">
        <v>3301</v>
      </c>
      <c r="AT44" s="1" t="s">
        <v>44</v>
      </c>
      <c r="AU44" s="1">
        <v>2014</v>
      </c>
      <c r="AV44" s="1" t="s">
        <v>60</v>
      </c>
      <c r="AW44" s="1">
        <v>473270.5</v>
      </c>
      <c r="AX44" s="1">
        <v>6735816.8000000007</v>
      </c>
      <c r="AY44" s="1">
        <v>7.0261783248024096E-2</v>
      </c>
      <c r="AZ44" s="1"/>
      <c r="BA44" s="22">
        <v>4497</v>
      </c>
      <c r="BB44" s="1" t="s">
        <v>38</v>
      </c>
      <c r="BC44" s="1">
        <v>2014</v>
      </c>
      <c r="BD44" s="1" t="s">
        <v>60</v>
      </c>
      <c r="BE44" s="1">
        <v>285581.8</v>
      </c>
      <c r="BF44" s="1">
        <v>6538596.7000000002</v>
      </c>
      <c r="BG44" s="1">
        <v>4.3676313604110097E-2</v>
      </c>
      <c r="BH44" s="1"/>
      <c r="BI44" s="22">
        <v>5693</v>
      </c>
      <c r="BJ44" s="1" t="s">
        <v>31</v>
      </c>
      <c r="BK44" s="1">
        <v>2014</v>
      </c>
      <c r="BL44" s="1" t="s">
        <v>60</v>
      </c>
      <c r="BM44" s="1">
        <v>339909.2</v>
      </c>
      <c r="BN44" s="1">
        <v>9155477.5</v>
      </c>
      <c r="BO44" s="1">
        <v>3.7126321374281103E-2</v>
      </c>
      <c r="BP44" s="1"/>
      <c r="BQ44" s="22">
        <v>6889</v>
      </c>
      <c r="BR44" s="1" t="s">
        <v>51</v>
      </c>
      <c r="BS44" s="1">
        <v>2014</v>
      </c>
      <c r="BT44" s="1" t="s">
        <v>60</v>
      </c>
      <c r="BU44" s="1">
        <v>192496.7</v>
      </c>
      <c r="BV44" s="1">
        <v>4981875.5</v>
      </c>
      <c r="BW44" s="1">
        <v>3.8639403975470603E-2</v>
      </c>
      <c r="BX44" s="1"/>
      <c r="BY44" s="22">
        <v>8085</v>
      </c>
      <c r="BZ44" s="1" t="s">
        <v>57</v>
      </c>
      <c r="CA44" s="1">
        <v>2014</v>
      </c>
      <c r="CB44" s="1" t="s">
        <v>60</v>
      </c>
      <c r="CC44" s="1">
        <v>308095.7</v>
      </c>
      <c r="CD44" s="1">
        <v>11026913.800000001</v>
      </c>
      <c r="CE44" s="1">
        <v>2.79403381207169E-2</v>
      </c>
      <c r="CF44" s="1"/>
      <c r="CG44" s="22">
        <v>955</v>
      </c>
      <c r="CH44" s="1" t="s">
        <v>17</v>
      </c>
      <c r="CI44" s="1">
        <v>2015</v>
      </c>
      <c r="CJ44" s="1" t="s">
        <v>60</v>
      </c>
      <c r="CK44" s="1">
        <v>196959.1</v>
      </c>
      <c r="CL44" s="1">
        <v>3555133.8</v>
      </c>
      <c r="CM44" s="1">
        <v>5.5401318510149997E-2</v>
      </c>
      <c r="CN44" s="1"/>
      <c r="CO44" s="22">
        <v>2151</v>
      </c>
      <c r="CP44" s="1" t="s">
        <v>61</v>
      </c>
      <c r="CQ44" s="1">
        <v>2015</v>
      </c>
      <c r="CR44" s="1" t="s">
        <v>60</v>
      </c>
      <c r="CS44" s="1">
        <v>2542994.9</v>
      </c>
      <c r="CT44" s="1">
        <v>41208556.399999999</v>
      </c>
      <c r="CU44" s="1">
        <v>6.1710361200617E-2</v>
      </c>
      <c r="CV44" s="1"/>
      <c r="CW44" s="22">
        <v>3347</v>
      </c>
      <c r="CX44" s="1" t="s">
        <v>44</v>
      </c>
      <c r="CY44" s="1">
        <v>2015</v>
      </c>
      <c r="CZ44" s="1" t="s">
        <v>60</v>
      </c>
      <c r="DA44" s="1">
        <v>431553.5</v>
      </c>
      <c r="DB44" s="1">
        <v>6404349.4000000004</v>
      </c>
      <c r="DC44" s="1">
        <v>6.73844403305041E-2</v>
      </c>
      <c r="DD44" s="1"/>
      <c r="DE44" s="22">
        <v>4543</v>
      </c>
      <c r="DF44" s="1" t="s">
        <v>38</v>
      </c>
      <c r="DG44" s="1">
        <v>2015</v>
      </c>
      <c r="DH44" s="1" t="s">
        <v>60</v>
      </c>
      <c r="DI44" s="1">
        <v>245842.9</v>
      </c>
      <c r="DJ44" s="1">
        <v>5531517.5999999996</v>
      </c>
      <c r="DK44" s="1">
        <v>4.4444023824492501E-2</v>
      </c>
      <c r="DL44" s="1"/>
      <c r="DM44" s="22">
        <v>5739</v>
      </c>
      <c r="DN44" s="1" t="s">
        <v>31</v>
      </c>
      <c r="DO44" s="1">
        <v>2015</v>
      </c>
      <c r="DP44" s="1" t="s">
        <v>60</v>
      </c>
      <c r="DQ44" s="1">
        <v>293576.8</v>
      </c>
      <c r="DR44" s="1">
        <v>7894528</v>
      </c>
      <c r="DS44" s="1">
        <v>3.71873783967831E-2</v>
      </c>
      <c r="DT44" s="1"/>
      <c r="DU44" s="22">
        <v>6935</v>
      </c>
      <c r="DV44" s="1" t="s">
        <v>51</v>
      </c>
      <c r="DW44" s="1">
        <v>2015</v>
      </c>
      <c r="DX44" s="1" t="s">
        <v>60</v>
      </c>
      <c r="DY44" s="1">
        <v>159898.6</v>
      </c>
      <c r="DZ44" s="1">
        <v>4209274.5999999996</v>
      </c>
      <c r="EA44" s="1">
        <v>3.7987210432885499E-2</v>
      </c>
      <c r="EB44" s="1"/>
      <c r="EC44" s="22">
        <v>8131</v>
      </c>
      <c r="ED44" s="1" t="s">
        <v>57</v>
      </c>
      <c r="EE44" s="1">
        <v>2015</v>
      </c>
      <c r="EF44" s="1" t="s">
        <v>60</v>
      </c>
      <c r="EG44" s="1">
        <v>275606.8</v>
      </c>
      <c r="EH44" s="1">
        <v>9729477.0999999996</v>
      </c>
      <c r="EI44" s="1">
        <v>2.8326989946869802E-2</v>
      </c>
      <c r="EJ44" s="1"/>
      <c r="EK44" s="22">
        <v>1001</v>
      </c>
      <c r="EL44" s="1" t="s">
        <v>17</v>
      </c>
      <c r="EM44" s="1">
        <v>2016</v>
      </c>
      <c r="EN44" s="1" t="s">
        <v>60</v>
      </c>
      <c r="EO44" s="1">
        <v>193976.1</v>
      </c>
      <c r="EP44" s="1">
        <v>3463407</v>
      </c>
      <c r="EQ44" s="1">
        <v>5.6007307255543398E-2</v>
      </c>
      <c r="ER44" s="1"/>
      <c r="ES44" s="22">
        <v>2197</v>
      </c>
      <c r="ET44" s="1" t="s">
        <v>61</v>
      </c>
      <c r="EU44" s="1">
        <v>2016</v>
      </c>
      <c r="EV44" s="1" t="s">
        <v>60</v>
      </c>
      <c r="EW44" s="1">
        <v>2621196.6</v>
      </c>
      <c r="EX44" s="1">
        <v>42141395.200000003</v>
      </c>
      <c r="EY44" s="1">
        <v>6.2200043153768203E-2</v>
      </c>
      <c r="EZ44" s="1"/>
      <c r="FA44" s="22">
        <v>3393</v>
      </c>
      <c r="FB44" s="1" t="s">
        <v>44</v>
      </c>
      <c r="FC44" s="1">
        <v>2016</v>
      </c>
      <c r="FD44" s="1" t="s">
        <v>60</v>
      </c>
      <c r="FE44" s="1">
        <v>417241.5</v>
      </c>
      <c r="FF44" s="1">
        <v>5868597.7999999998</v>
      </c>
      <c r="FG44" s="1">
        <v>7.1097307094379503E-2</v>
      </c>
      <c r="FH44" s="1"/>
      <c r="FI44" s="22">
        <v>4589</v>
      </c>
      <c r="FJ44" s="1" t="s">
        <v>38</v>
      </c>
      <c r="FK44" s="1">
        <v>2016</v>
      </c>
      <c r="FL44" s="1" t="s">
        <v>60</v>
      </c>
      <c r="FM44" s="1">
        <v>241310.2</v>
      </c>
      <c r="FN44" s="1">
        <v>5582986.5</v>
      </c>
      <c r="FO44" s="1">
        <v>4.3222422264499398E-2</v>
      </c>
      <c r="FP44" s="1"/>
      <c r="FQ44" s="22">
        <v>5785</v>
      </c>
      <c r="FR44" s="1" t="s">
        <v>31</v>
      </c>
      <c r="FS44" s="1">
        <v>2016</v>
      </c>
      <c r="FT44" s="1" t="s">
        <v>60</v>
      </c>
      <c r="FU44" s="1">
        <v>290706.5</v>
      </c>
      <c r="FV44" s="1">
        <v>8130820.9000000004</v>
      </c>
      <c r="FW44" s="1">
        <v>3.5753646965707903E-2</v>
      </c>
      <c r="FX44" s="1"/>
      <c r="FY44" s="22">
        <v>6981</v>
      </c>
      <c r="FZ44" s="1" t="s">
        <v>51</v>
      </c>
      <c r="GA44" s="1">
        <v>2016</v>
      </c>
      <c r="GB44" s="1" t="s">
        <v>60</v>
      </c>
      <c r="GC44" s="1">
        <v>155846.70000000001</v>
      </c>
      <c r="GD44" s="1">
        <v>4230502.5999999996</v>
      </c>
      <c r="GE44" s="1">
        <v>3.6838814376334302E-2</v>
      </c>
      <c r="GF44" s="1"/>
      <c r="GG44" s="22">
        <v>8177</v>
      </c>
      <c r="GH44" s="1" t="s">
        <v>57</v>
      </c>
      <c r="GI44" s="1">
        <v>2016</v>
      </c>
      <c r="GJ44" s="1" t="s">
        <v>60</v>
      </c>
      <c r="GK44" s="1">
        <v>298801.5</v>
      </c>
      <c r="GL44" s="1">
        <v>10773649.5</v>
      </c>
      <c r="GM44" s="1">
        <v>2.7734473819665199E-2</v>
      </c>
      <c r="GN44" s="1"/>
      <c r="GO44" s="22">
        <v>1047</v>
      </c>
      <c r="GP44" s="1" t="s">
        <v>17</v>
      </c>
      <c r="GQ44" s="1">
        <v>2017</v>
      </c>
      <c r="GR44" s="1" t="s">
        <v>60</v>
      </c>
      <c r="GS44" s="1">
        <v>206323.5</v>
      </c>
      <c r="GT44" s="1">
        <v>3719735.5</v>
      </c>
      <c r="GU44" s="1">
        <v>5.5467250292393099E-2</v>
      </c>
      <c r="GV44" s="1"/>
      <c r="GW44" s="22">
        <v>2243</v>
      </c>
      <c r="GX44" s="1" t="s">
        <v>61</v>
      </c>
      <c r="GY44" s="1">
        <v>2017</v>
      </c>
      <c r="GZ44" s="1" t="s">
        <v>60</v>
      </c>
      <c r="HA44" s="1">
        <v>2796807.5</v>
      </c>
      <c r="HB44" s="1">
        <v>44107004.100000001</v>
      </c>
      <c r="HC44" s="1">
        <v>6.3409600290671206E-2</v>
      </c>
      <c r="HD44" s="1"/>
      <c r="HE44" s="22">
        <v>3439</v>
      </c>
      <c r="HF44" s="1" t="s">
        <v>44</v>
      </c>
      <c r="HG44" s="1">
        <v>2017</v>
      </c>
      <c r="HH44" s="1" t="s">
        <v>60</v>
      </c>
      <c r="HI44" s="1">
        <v>412472.6</v>
      </c>
      <c r="HJ44" s="1">
        <v>5855367.5</v>
      </c>
      <c r="HK44" s="1">
        <v>7.0443503332626001E-2</v>
      </c>
      <c r="HL44" s="1"/>
      <c r="HM44" s="22">
        <v>4635</v>
      </c>
      <c r="HN44" s="1" t="s">
        <v>38</v>
      </c>
      <c r="HO44" s="1">
        <v>2017</v>
      </c>
      <c r="HP44" s="1" t="s">
        <v>60</v>
      </c>
      <c r="HQ44" s="1">
        <v>251861.7</v>
      </c>
      <c r="HR44" s="1">
        <v>5923445.7000000002</v>
      </c>
      <c r="HS44" s="1">
        <v>4.2519457889180899E-2</v>
      </c>
      <c r="HT44" s="1"/>
      <c r="HU44" s="22">
        <v>5831</v>
      </c>
      <c r="HV44" s="1" t="s">
        <v>31</v>
      </c>
      <c r="HW44" s="1">
        <v>2017</v>
      </c>
      <c r="HX44" s="1" t="s">
        <v>60</v>
      </c>
      <c r="HY44" s="1">
        <v>296309.2</v>
      </c>
      <c r="HZ44" s="1">
        <v>8686095.3000000007</v>
      </c>
      <c r="IA44" s="1">
        <v>3.4113049623114303E-2</v>
      </c>
      <c r="IB44" s="1"/>
      <c r="IC44" s="22">
        <v>7027</v>
      </c>
      <c r="ID44" s="1" t="s">
        <v>51</v>
      </c>
      <c r="IE44" s="1">
        <v>2017</v>
      </c>
      <c r="IF44" s="1" t="s">
        <v>60</v>
      </c>
      <c r="IG44" s="1">
        <v>157741.70000000001</v>
      </c>
      <c r="IH44" s="1">
        <v>4472691.8</v>
      </c>
      <c r="II44" s="1">
        <v>3.5267732956695101E-2</v>
      </c>
      <c r="IJ44" s="1"/>
      <c r="IK44" s="22">
        <v>8223</v>
      </c>
      <c r="IL44" s="1" t="s">
        <v>57</v>
      </c>
      <c r="IM44" s="1">
        <v>2017</v>
      </c>
      <c r="IN44" s="1" t="s">
        <v>60</v>
      </c>
      <c r="IO44" s="1">
        <v>293017.09999999998</v>
      </c>
      <c r="IP44" s="1">
        <v>10750260.5</v>
      </c>
      <c r="IQ44" s="1">
        <v>2.7256744150525401E-2</v>
      </c>
      <c r="IR44" s="1"/>
      <c r="IS44" s="22">
        <v>1093</v>
      </c>
      <c r="IT44" s="1" t="s">
        <v>17</v>
      </c>
      <c r="IU44" s="1">
        <v>2018</v>
      </c>
      <c r="IV44" s="1" t="s">
        <v>60</v>
      </c>
      <c r="IW44" s="1">
        <v>210011</v>
      </c>
      <c r="IX44" s="1">
        <v>3904165.4</v>
      </c>
      <c r="IY44" s="1">
        <v>5.3791522254666699E-2</v>
      </c>
      <c r="IZ44" s="1"/>
      <c r="JA44" s="22">
        <v>2289</v>
      </c>
      <c r="JB44" s="1" t="s">
        <v>61</v>
      </c>
      <c r="JC44" s="1">
        <v>2018</v>
      </c>
      <c r="JD44" s="1" t="s">
        <v>60</v>
      </c>
      <c r="JE44" s="1">
        <v>2954556.9</v>
      </c>
      <c r="JF44" s="1">
        <v>46669099.200000003</v>
      </c>
      <c r="JG44" s="1">
        <v>6.3308633563683603E-2</v>
      </c>
      <c r="JH44" s="1"/>
      <c r="JI44" s="22">
        <v>3485</v>
      </c>
      <c r="JJ44" s="1" t="s">
        <v>44</v>
      </c>
      <c r="JK44" s="1">
        <v>2018</v>
      </c>
      <c r="JL44" s="1" t="s">
        <v>60</v>
      </c>
      <c r="JM44" s="1">
        <v>427497</v>
      </c>
      <c r="JN44" s="1">
        <v>6336724.7000000002</v>
      </c>
      <c r="JO44" s="1">
        <v>6.7463401084790695E-2</v>
      </c>
      <c r="JP44" s="1"/>
      <c r="JQ44" s="22">
        <v>4681</v>
      </c>
      <c r="JR44" s="1" t="s">
        <v>38</v>
      </c>
      <c r="JS44" s="1">
        <v>2018</v>
      </c>
      <c r="JT44" s="1" t="s">
        <v>60</v>
      </c>
      <c r="JU44" s="1">
        <v>271609.40000000002</v>
      </c>
      <c r="JV44" s="1">
        <v>6390706</v>
      </c>
      <c r="JW44" s="1">
        <v>4.2500687717444599E-2</v>
      </c>
      <c r="JX44" s="1"/>
      <c r="JY44" s="22">
        <v>5877</v>
      </c>
      <c r="JZ44" s="1" t="s">
        <v>31</v>
      </c>
      <c r="KA44" s="1">
        <v>2018</v>
      </c>
      <c r="KB44" s="1" t="s">
        <v>60</v>
      </c>
      <c r="KC44" s="1">
        <v>316335.7</v>
      </c>
      <c r="KD44" s="1">
        <v>9443218.3000000007</v>
      </c>
      <c r="KE44" s="1">
        <v>3.34987172752323E-2</v>
      </c>
      <c r="KF44" s="1"/>
      <c r="KG44" s="22">
        <v>7073</v>
      </c>
      <c r="KH44" s="1" t="s">
        <v>51</v>
      </c>
      <c r="KI44" s="1">
        <v>2018</v>
      </c>
      <c r="KJ44" s="1" t="s">
        <v>60</v>
      </c>
      <c r="KK44" s="1">
        <v>162990.9</v>
      </c>
      <c r="KL44" s="1">
        <v>4803387.8</v>
      </c>
      <c r="KM44" s="1">
        <v>3.3932488232576101E-2</v>
      </c>
      <c r="KN44" s="1"/>
      <c r="KO44" s="22">
        <v>8269</v>
      </c>
      <c r="KP44" s="1" t="s">
        <v>57</v>
      </c>
      <c r="KQ44" s="1">
        <v>2018</v>
      </c>
      <c r="KR44" s="1" t="s">
        <v>60</v>
      </c>
      <c r="KS44" s="1">
        <v>305423.59999999998</v>
      </c>
      <c r="KT44" s="1">
        <v>11172914.4</v>
      </c>
      <c r="KU44" s="1">
        <v>2.7336072672318999E-2</v>
      </c>
      <c r="KV44" s="1"/>
      <c r="KW44" s="22">
        <v>1139</v>
      </c>
      <c r="KX44" s="1" t="s">
        <v>17</v>
      </c>
      <c r="KY44" s="1">
        <v>2019</v>
      </c>
      <c r="KZ44" s="1" t="s">
        <v>60</v>
      </c>
      <c r="LA44" s="1">
        <v>212362.1</v>
      </c>
      <c r="LB44" s="1">
        <v>3955328</v>
      </c>
      <c r="LC44" s="1">
        <v>5.3690136443804402E-2</v>
      </c>
      <c r="LD44" s="1"/>
      <c r="LE44" s="22">
        <v>2335</v>
      </c>
      <c r="LF44" s="1" t="s">
        <v>61</v>
      </c>
      <c r="LG44" s="1">
        <v>2019</v>
      </c>
      <c r="LH44" s="1" t="s">
        <v>60</v>
      </c>
      <c r="LI44" s="1">
        <v>3047810.3</v>
      </c>
      <c r="LJ44" s="1">
        <v>48356774.5</v>
      </c>
      <c r="LK44" s="1">
        <v>6.30275764153789E-2</v>
      </c>
      <c r="LL44" s="1"/>
      <c r="LM44" s="22">
        <v>3531</v>
      </c>
      <c r="LN44" s="1" t="s">
        <v>44</v>
      </c>
      <c r="LO44" s="1">
        <v>2019</v>
      </c>
      <c r="LP44" s="1" t="s">
        <v>60</v>
      </c>
      <c r="LQ44" s="1">
        <v>414448.4</v>
      </c>
      <c r="LR44" s="1">
        <v>6269787.0999999996</v>
      </c>
      <c r="LS44" s="1">
        <v>6.6102467817447899E-2</v>
      </c>
      <c r="LT44" s="1"/>
      <c r="LU44" s="22">
        <v>4727</v>
      </c>
      <c r="LV44" s="1" t="s">
        <v>38</v>
      </c>
      <c r="LW44" s="1">
        <v>2019</v>
      </c>
      <c r="LX44" s="1" t="s">
        <v>60</v>
      </c>
      <c r="LY44" s="1">
        <v>260975.4</v>
      </c>
      <c r="LZ44" s="1">
        <v>6182094.5</v>
      </c>
      <c r="MA44" s="1">
        <v>4.2214721887541502E-2</v>
      </c>
      <c r="MB44" s="1"/>
      <c r="MC44" s="22">
        <v>5923</v>
      </c>
      <c r="MD44" s="1" t="s">
        <v>31</v>
      </c>
      <c r="ME44" s="1">
        <v>2019</v>
      </c>
      <c r="MF44" s="1" t="s">
        <v>60</v>
      </c>
      <c r="MG44" s="1">
        <v>313711.8</v>
      </c>
      <c r="MH44" s="1">
        <v>9237079</v>
      </c>
      <c r="MI44" s="1">
        <v>3.3962229834777799E-2</v>
      </c>
      <c r="MJ44" s="1"/>
      <c r="MK44" s="22">
        <v>7119</v>
      </c>
      <c r="ML44" s="1" t="s">
        <v>51</v>
      </c>
      <c r="MM44" s="1">
        <v>2019</v>
      </c>
      <c r="MN44" s="1" t="s">
        <v>60</v>
      </c>
      <c r="MO44" s="1">
        <v>153848.29999999999</v>
      </c>
      <c r="MP44" s="1">
        <v>4608662</v>
      </c>
      <c r="MQ44" s="1">
        <v>3.33824220565535E-2</v>
      </c>
      <c r="MR44" s="1"/>
      <c r="MS44" s="22">
        <v>8315</v>
      </c>
      <c r="MT44" s="1" t="s">
        <v>57</v>
      </c>
      <c r="MU44" s="1">
        <v>2019</v>
      </c>
      <c r="MV44" s="1" t="s">
        <v>60</v>
      </c>
      <c r="MW44" s="1">
        <v>308860.7</v>
      </c>
      <c r="MX44" s="1">
        <v>11338077</v>
      </c>
      <c r="MY44" s="1">
        <v>2.72410127396383E-2</v>
      </c>
      <c r="MZ44" s="1"/>
      <c r="NA44" s="22">
        <v>1185</v>
      </c>
      <c r="NB44" s="1" t="s">
        <v>17</v>
      </c>
      <c r="NC44" s="1">
        <v>2020</v>
      </c>
      <c r="ND44" s="1" t="s">
        <v>60</v>
      </c>
      <c r="NE44" s="1">
        <v>219660</v>
      </c>
      <c r="NF44" s="1">
        <v>3784752.3</v>
      </c>
      <c r="NG44" s="1">
        <v>5.8038144266402802E-2</v>
      </c>
      <c r="NH44" s="1"/>
      <c r="NI44" s="22">
        <v>2381</v>
      </c>
      <c r="NJ44" s="1" t="s">
        <v>61</v>
      </c>
      <c r="NK44" s="1">
        <v>2020</v>
      </c>
      <c r="NL44" s="1" t="s">
        <v>60</v>
      </c>
      <c r="NM44" s="1">
        <v>3142449.4</v>
      </c>
      <c r="NN44" s="1">
        <v>47421769.399999999</v>
      </c>
      <c r="NO44" s="1">
        <v>6.6265966870481197E-2</v>
      </c>
      <c r="NP44" s="1"/>
      <c r="NQ44" s="22">
        <v>3577</v>
      </c>
      <c r="NR44" s="1" t="s">
        <v>44</v>
      </c>
      <c r="NS44" s="1">
        <v>2020</v>
      </c>
      <c r="NT44" s="1" t="s">
        <v>60</v>
      </c>
      <c r="NU44" s="1">
        <v>410293.4</v>
      </c>
      <c r="NV44" s="1">
        <v>5955345.3666666672</v>
      </c>
      <c r="NW44" s="1">
        <v>6.8894980011822496E-2</v>
      </c>
      <c r="NX44" s="1"/>
      <c r="NY44" s="22">
        <v>4773</v>
      </c>
      <c r="NZ44" s="1" t="s">
        <v>38</v>
      </c>
      <c r="OA44" s="1">
        <v>2020</v>
      </c>
      <c r="OB44" s="1" t="s">
        <v>60</v>
      </c>
      <c r="OC44" s="1">
        <v>273795.59999999998</v>
      </c>
      <c r="OD44" s="1">
        <v>5990228.4000000004</v>
      </c>
      <c r="OE44" s="1">
        <v>4.5707038482873198E-2</v>
      </c>
      <c r="OF44" s="1"/>
      <c r="OG44" s="22">
        <v>5969</v>
      </c>
      <c r="OH44" s="1" t="s">
        <v>31</v>
      </c>
      <c r="OI44" s="1">
        <v>2020</v>
      </c>
      <c r="OJ44" s="1" t="s">
        <v>60</v>
      </c>
      <c r="OK44" s="1">
        <v>322881.5</v>
      </c>
      <c r="OL44" s="1">
        <v>9257180.0999999996</v>
      </c>
      <c r="OM44" s="1">
        <v>3.4879034059194701E-2</v>
      </c>
      <c r="ON44" s="1"/>
      <c r="OO44" s="22">
        <v>7165</v>
      </c>
      <c r="OP44" s="1" t="s">
        <v>51</v>
      </c>
      <c r="OQ44" s="1">
        <v>2020</v>
      </c>
      <c r="OR44" s="1" t="s">
        <v>60</v>
      </c>
      <c r="OS44" s="1">
        <v>159368.79999999999</v>
      </c>
      <c r="OT44" s="1">
        <v>4352046.4000000004</v>
      </c>
      <c r="OU44" s="1">
        <v>3.66192786915139E-2</v>
      </c>
      <c r="OV44" s="1"/>
      <c r="OW44" s="22">
        <v>8361</v>
      </c>
      <c r="OX44" s="1" t="s">
        <v>57</v>
      </c>
      <c r="OY44" s="1">
        <v>2020</v>
      </c>
      <c r="OZ44" s="1" t="s">
        <v>60</v>
      </c>
      <c r="PA44" s="1">
        <v>323093.5</v>
      </c>
      <c r="PB44" s="1">
        <v>11082248.733333331</v>
      </c>
      <c r="PC44" s="1">
        <v>2.91541462183748E-2</v>
      </c>
      <c r="PD44" s="1"/>
      <c r="PE44" s="22">
        <v>8407</v>
      </c>
      <c r="PF44" s="1" t="s">
        <v>17</v>
      </c>
      <c r="PG44" s="1">
        <v>2021</v>
      </c>
      <c r="PH44" s="1" t="s">
        <v>60</v>
      </c>
      <c r="PI44" s="1">
        <v>268310.29595090821</v>
      </c>
      <c r="PJ44" s="1">
        <v>4622999.2247741111</v>
      </c>
      <c r="PK44" s="1">
        <v>5.8038144266402802E-2</v>
      </c>
      <c r="PL44" s="1"/>
      <c r="PM44" s="22">
        <v>9327</v>
      </c>
      <c r="PN44" s="1" t="s">
        <v>61</v>
      </c>
      <c r="PO44" s="1">
        <v>2021</v>
      </c>
      <c r="PP44" s="1" t="s">
        <v>60</v>
      </c>
      <c r="PQ44" s="1">
        <v>3484903.2612603661</v>
      </c>
      <c r="PR44" s="1">
        <v>52589638.782026872</v>
      </c>
      <c r="PS44" s="1">
        <v>6.6265966870481197E-2</v>
      </c>
      <c r="PT44" s="1"/>
      <c r="PU44" s="22">
        <v>10247</v>
      </c>
      <c r="PV44" s="1" t="s">
        <v>44</v>
      </c>
      <c r="PW44" s="1">
        <v>2021</v>
      </c>
      <c r="PX44" s="1" t="s">
        <v>60</v>
      </c>
      <c r="PY44" s="1">
        <v>478230.87166472583</v>
      </c>
      <c r="PZ44" s="1">
        <v>6941447.2808129201</v>
      </c>
      <c r="QA44" s="1">
        <v>6.8894980011822496E-2</v>
      </c>
      <c r="QB44" s="1"/>
      <c r="QC44" s="22">
        <v>11167</v>
      </c>
      <c r="QD44" s="1" t="s">
        <v>38</v>
      </c>
      <c r="QE44" s="1">
        <v>2021</v>
      </c>
      <c r="QF44" s="1" t="s">
        <v>60</v>
      </c>
      <c r="QG44" s="1">
        <v>306728.4564576858</v>
      </c>
      <c r="QH44" s="1">
        <v>6710748.8614170318</v>
      </c>
      <c r="QI44" s="1">
        <v>4.5707038482873198E-2</v>
      </c>
      <c r="QJ44" s="1"/>
      <c r="QK44" s="22">
        <v>12087</v>
      </c>
      <c r="QL44" s="1" t="s">
        <v>31</v>
      </c>
      <c r="QM44" s="1">
        <v>2021</v>
      </c>
      <c r="QN44" s="1" t="s">
        <v>60</v>
      </c>
      <c r="QO44" s="1">
        <v>356328.86812397471</v>
      </c>
      <c r="QP44" s="1">
        <v>10216133.49495957</v>
      </c>
      <c r="QQ44" s="1">
        <v>3.4879034059194701E-2</v>
      </c>
      <c r="QR44" s="1"/>
      <c r="QS44" s="22">
        <v>13007</v>
      </c>
      <c r="QT44" s="1" t="s">
        <v>51</v>
      </c>
      <c r="QU44" s="1">
        <v>2021</v>
      </c>
      <c r="QV44" s="1" t="s">
        <v>60</v>
      </c>
      <c r="QW44" s="1">
        <v>182071.6771069681</v>
      </c>
      <c r="QX44" s="1">
        <v>4972017.0252605537</v>
      </c>
      <c r="QY44" s="1">
        <v>3.66192786915139E-2</v>
      </c>
      <c r="QZ44" s="1"/>
      <c r="RA44" s="22">
        <v>13927</v>
      </c>
      <c r="RB44" s="1" t="s">
        <v>57</v>
      </c>
      <c r="RC44" s="1">
        <v>2021</v>
      </c>
      <c r="RD44" s="1" t="s">
        <v>60</v>
      </c>
      <c r="RE44" s="1">
        <v>322139.70335294033</v>
      </c>
      <c r="RF44" s="1">
        <v>11049533.09007922</v>
      </c>
      <c r="RG44" s="1">
        <v>2.91541462183748E-2</v>
      </c>
      <c r="RH44" s="1"/>
      <c r="RI44" s="22">
        <v>8453</v>
      </c>
      <c r="RJ44" s="1" t="s">
        <v>17</v>
      </c>
      <c r="RK44" s="1">
        <v>2022</v>
      </c>
      <c r="RL44" s="1" t="s">
        <v>60</v>
      </c>
      <c r="RM44" s="1">
        <v>290602.9308803631</v>
      </c>
      <c r="RN44" s="1">
        <v>5007102.3902221443</v>
      </c>
      <c r="RO44" s="1">
        <v>5.8038144266402802E-2</v>
      </c>
      <c r="RP44" s="1"/>
      <c r="RQ44" s="22">
        <v>9373</v>
      </c>
      <c r="RR44" s="1" t="s">
        <v>61</v>
      </c>
      <c r="RS44" s="1">
        <v>2022</v>
      </c>
      <c r="RT44" s="1" t="s">
        <v>60</v>
      </c>
      <c r="RU44" s="1">
        <v>3827151.0998290721</v>
      </c>
      <c r="RV44" s="1">
        <v>57754399.13688051</v>
      </c>
      <c r="RW44" s="1">
        <v>6.6265966870481197E-2</v>
      </c>
      <c r="RX44" s="1"/>
      <c r="RY44" s="22">
        <v>10293</v>
      </c>
      <c r="RZ44" s="1" t="s">
        <v>44</v>
      </c>
      <c r="SA44" s="1">
        <v>2022</v>
      </c>
      <c r="SB44" s="1" t="s">
        <v>60</v>
      </c>
      <c r="SC44" s="1">
        <v>473776.15502043138</v>
      </c>
      <c r="SD44" s="1">
        <v>6876787.7563667288</v>
      </c>
      <c r="SE44" s="1">
        <v>6.8894980011822496E-2</v>
      </c>
      <c r="SF44" s="1"/>
      <c r="SG44" s="22">
        <v>11213</v>
      </c>
      <c r="SH44" s="1" t="s">
        <v>38</v>
      </c>
      <c r="SI44" s="1">
        <v>2022</v>
      </c>
      <c r="SJ44" s="1" t="s">
        <v>60</v>
      </c>
      <c r="SK44" s="1">
        <v>289137.03771625378</v>
      </c>
      <c r="SL44" s="1">
        <v>6325875.5612572851</v>
      </c>
      <c r="SM44" s="1">
        <v>4.5707038482873198E-2</v>
      </c>
      <c r="SN44" s="1"/>
      <c r="SO44" s="22">
        <v>12133</v>
      </c>
      <c r="SP44" s="1" t="s">
        <v>31</v>
      </c>
      <c r="SQ44" s="1">
        <v>2022</v>
      </c>
      <c r="SR44" s="1" t="s">
        <v>60</v>
      </c>
      <c r="SS44" s="1">
        <v>341193.31125289912</v>
      </c>
      <c r="ST44" s="1">
        <v>9782189.227885304</v>
      </c>
      <c r="SU44" s="1">
        <v>3.4879034059194701E-2</v>
      </c>
      <c r="SV44" s="1"/>
      <c r="SW44" s="22">
        <v>13053</v>
      </c>
      <c r="SX44" s="1" t="s">
        <v>51</v>
      </c>
      <c r="SY44" s="1">
        <v>2022</v>
      </c>
      <c r="SZ44" s="1" t="s">
        <v>60</v>
      </c>
      <c r="TA44" s="1">
        <v>175793.77556566751</v>
      </c>
      <c r="TB44" s="1">
        <v>4800579.963537232</v>
      </c>
      <c r="TC44" s="1">
        <v>3.66192786915139E-2</v>
      </c>
      <c r="TD44" s="1"/>
      <c r="TE44" s="22">
        <v>13973</v>
      </c>
      <c r="TF44" s="1" t="s">
        <v>57</v>
      </c>
      <c r="TG44" s="1">
        <v>2022</v>
      </c>
      <c r="TH44" s="1" t="s">
        <v>60</v>
      </c>
      <c r="TI44" s="1">
        <v>272487.93942505663</v>
      </c>
      <c r="TJ44" s="1">
        <v>9346455.8140041605</v>
      </c>
      <c r="TK44" s="1">
        <v>2.91541462183748E-2</v>
      </c>
      <c r="TL44" s="1"/>
      <c r="TM44" s="22">
        <v>8499</v>
      </c>
      <c r="TN44" s="1" t="s">
        <v>17</v>
      </c>
      <c r="TO44" s="1">
        <v>2023</v>
      </c>
      <c r="TP44" s="1" t="s">
        <v>60</v>
      </c>
      <c r="TQ44" s="1">
        <v>288338.24434673338</v>
      </c>
      <c r="TR44" s="1">
        <v>4968081.7329930915</v>
      </c>
      <c r="TS44" s="1">
        <v>5.8038144266402802E-2</v>
      </c>
      <c r="TT44" s="1"/>
      <c r="TU44" s="22">
        <v>9419</v>
      </c>
      <c r="TV44" s="1" t="s">
        <v>61</v>
      </c>
      <c r="TW44" s="1">
        <v>2023</v>
      </c>
      <c r="TX44" s="1" t="s">
        <v>60</v>
      </c>
      <c r="TY44" s="1">
        <v>4079352.3062353348</v>
      </c>
      <c r="TZ44" s="1">
        <v>61560292.543660469</v>
      </c>
      <c r="UA44" s="1">
        <v>6.6265966870481197E-2</v>
      </c>
      <c r="UB44" s="1"/>
      <c r="UC44" s="22">
        <v>10339</v>
      </c>
      <c r="UD44" s="1" t="s">
        <v>44</v>
      </c>
      <c r="UE44" s="1">
        <v>2023</v>
      </c>
      <c r="UF44" s="1" t="s">
        <v>60</v>
      </c>
      <c r="UG44" s="1">
        <v>512697.11171248642</v>
      </c>
      <c r="UH44" s="1">
        <v>7441719.4347760417</v>
      </c>
      <c r="UI44" s="1">
        <v>6.8894980011822496E-2</v>
      </c>
      <c r="UJ44" s="1"/>
      <c r="UK44" s="22">
        <v>11259</v>
      </c>
      <c r="UL44" s="1" t="s">
        <v>38</v>
      </c>
      <c r="UM44" s="1">
        <v>2023</v>
      </c>
      <c r="UN44" s="1" t="s">
        <v>60</v>
      </c>
      <c r="UO44" s="1">
        <v>315558.80478260369</v>
      </c>
      <c r="UP44" s="1">
        <v>6903943.3587640161</v>
      </c>
      <c r="UQ44" s="1">
        <v>4.5707038482873198E-2</v>
      </c>
      <c r="UR44" s="1"/>
      <c r="US44" s="22">
        <v>12179</v>
      </c>
      <c r="UT44" s="1" t="s">
        <v>31</v>
      </c>
      <c r="UU44" s="1">
        <v>2023</v>
      </c>
      <c r="UV44" s="1" t="s">
        <v>60</v>
      </c>
      <c r="UW44" s="1">
        <v>370866.21403046523</v>
      </c>
      <c r="UX44" s="1">
        <v>10632926.743356841</v>
      </c>
      <c r="UY44" s="1">
        <v>3.4879034059194701E-2</v>
      </c>
      <c r="UZ44" s="1"/>
      <c r="VA44" s="22">
        <v>13099</v>
      </c>
      <c r="VB44" s="1" t="s">
        <v>51</v>
      </c>
      <c r="VC44" s="1">
        <v>2023</v>
      </c>
      <c r="VD44" s="1" t="s">
        <v>60</v>
      </c>
      <c r="VE44" s="1">
        <v>192548.77124163791</v>
      </c>
      <c r="VF44" s="1">
        <v>5258125.7228930313</v>
      </c>
      <c r="VG44" s="1">
        <v>3.66192786915139E-2</v>
      </c>
      <c r="VH44" s="1"/>
      <c r="VI44" s="22">
        <v>14019</v>
      </c>
      <c r="VJ44" s="1" t="s">
        <v>57</v>
      </c>
      <c r="VK44" s="1">
        <v>2023</v>
      </c>
      <c r="VL44" s="1" t="s">
        <v>60</v>
      </c>
      <c r="VM44" s="1">
        <v>269336.95841074531</v>
      </c>
      <c r="VN44" s="1">
        <v>9238375.7834414635</v>
      </c>
      <c r="VO44" s="1">
        <v>2.91541462183748E-2</v>
      </c>
      <c r="VP44" s="1"/>
      <c r="VQ44" s="22">
        <v>8545</v>
      </c>
      <c r="VR44" s="1" t="s">
        <v>17</v>
      </c>
      <c r="VS44" s="1">
        <v>2024</v>
      </c>
      <c r="VT44" s="1" t="s">
        <v>60</v>
      </c>
      <c r="VU44" s="1">
        <v>297347.90237243893</v>
      </c>
      <c r="VV44" s="1">
        <v>5123318.5714479852</v>
      </c>
      <c r="VW44" s="1">
        <v>5.8038144266402802E-2</v>
      </c>
      <c r="VX44" s="1"/>
      <c r="VY44" s="22">
        <v>9465</v>
      </c>
      <c r="VZ44" s="1" t="s">
        <v>61</v>
      </c>
      <c r="WA44" s="1">
        <v>2024</v>
      </c>
      <c r="WB44" s="1" t="s">
        <v>60</v>
      </c>
      <c r="WC44" s="1">
        <v>4294822.6098997369</v>
      </c>
      <c r="WD44" s="1">
        <v>64811890.820126347</v>
      </c>
      <c r="WE44" s="1">
        <v>6.6265966870481197E-2</v>
      </c>
      <c r="WF44" s="1"/>
      <c r="WG44" s="22">
        <v>10385</v>
      </c>
      <c r="WH44" s="1" t="s">
        <v>44</v>
      </c>
      <c r="WI44" s="1">
        <v>2024</v>
      </c>
      <c r="WJ44" s="1" t="s">
        <v>60</v>
      </c>
      <c r="WK44" s="1">
        <v>554379.44501294103</v>
      </c>
      <c r="WL44" s="1">
        <v>8046732.0684004631</v>
      </c>
      <c r="WM44" s="1">
        <v>6.8894980011822496E-2</v>
      </c>
      <c r="WN44" s="1"/>
      <c r="WO44" s="22">
        <v>11305</v>
      </c>
      <c r="WP44" s="1" t="s">
        <v>38</v>
      </c>
      <c r="WQ44" s="1">
        <v>2024</v>
      </c>
      <c r="WR44" s="1" t="s">
        <v>60</v>
      </c>
      <c r="WS44" s="1">
        <v>326958.63971026422</v>
      </c>
      <c r="WT44" s="1">
        <v>7153354.2877160665</v>
      </c>
      <c r="WU44" s="1">
        <v>4.5707038482873198E-2</v>
      </c>
      <c r="WV44" s="1"/>
      <c r="WW44" s="22">
        <v>12225</v>
      </c>
      <c r="WX44" s="1" t="s">
        <v>31</v>
      </c>
      <c r="WY44" s="1">
        <v>2024</v>
      </c>
      <c r="WZ44" s="1" t="s">
        <v>60</v>
      </c>
      <c r="XA44" s="1">
        <v>381865.92057515652</v>
      </c>
      <c r="XB44" s="1">
        <v>10948294.03609846</v>
      </c>
      <c r="XC44" s="1">
        <v>3.4879034059194701E-2</v>
      </c>
      <c r="XD44" s="1"/>
      <c r="XE44" s="22">
        <v>13145</v>
      </c>
      <c r="XF44" s="1" t="s">
        <v>51</v>
      </c>
      <c r="XG44" s="1">
        <v>2024</v>
      </c>
      <c r="XH44" s="1" t="s">
        <v>60</v>
      </c>
      <c r="XI44" s="1">
        <v>198243.49800574561</v>
      </c>
      <c r="XJ44" s="1">
        <v>5413637.436055948</v>
      </c>
      <c r="XK44" s="1">
        <v>3.66192786915139E-2</v>
      </c>
      <c r="XL44" s="1"/>
      <c r="XM44" s="22">
        <v>14065</v>
      </c>
      <c r="XN44" s="1" t="s">
        <v>57</v>
      </c>
      <c r="XO44" s="1">
        <v>2024</v>
      </c>
      <c r="XP44" s="1" t="s">
        <v>60</v>
      </c>
      <c r="XQ44" s="1">
        <v>257385.09372347349</v>
      </c>
      <c r="XR44" s="1">
        <v>8828421.583522588</v>
      </c>
      <c r="XS44" s="1">
        <v>2.91541462183748E-2</v>
      </c>
      <c r="XT44" s="1"/>
    </row>
    <row r="45" spans="1:644" x14ac:dyDescent="0.25">
      <c r="A45" s="2">
        <v>36</v>
      </c>
      <c r="B45" s="1" t="s">
        <v>17</v>
      </c>
      <c r="C45" s="1" t="s">
        <v>60</v>
      </c>
      <c r="D45" s="1">
        <v>5.3467459005831303E-2</v>
      </c>
      <c r="E45" s="1">
        <v>5.5401318510150017E-2</v>
      </c>
      <c r="F45" s="1">
        <v>5.6007307255543461E-2</v>
      </c>
      <c r="G45" s="1">
        <v>5.5467250292393099E-2</v>
      </c>
      <c r="H45" s="1">
        <v>5.3791522254666768E-2</v>
      </c>
      <c r="I45" s="1">
        <v>5.3690136443804409E-2</v>
      </c>
      <c r="J45" s="1">
        <v>5.8038144266402851E-2</v>
      </c>
      <c r="K45" s="1">
        <v>5.8038144266402913E-2</v>
      </c>
      <c r="L45" s="1">
        <v>5.803814426640292E-2</v>
      </c>
      <c r="M45" s="1">
        <v>5.803814426640292E-2</v>
      </c>
      <c r="N45" s="1">
        <v>5.8038144266402927E-2</v>
      </c>
      <c r="O45" s="1">
        <v>5.6183246826763969E-2</v>
      </c>
      <c r="P45" s="1"/>
      <c r="Q45" s="2">
        <v>292</v>
      </c>
      <c r="R45" s="1" t="s">
        <v>61</v>
      </c>
      <c r="S45" s="16" t="s">
        <v>19</v>
      </c>
      <c r="T45" s="16">
        <v>8.9880597944019952E-3</v>
      </c>
      <c r="U45" s="1"/>
      <c r="AC45" s="22">
        <v>910</v>
      </c>
      <c r="AD45" s="1" t="s">
        <v>17</v>
      </c>
      <c r="AE45" s="1">
        <v>2014</v>
      </c>
      <c r="AF45" s="1" t="s">
        <v>62</v>
      </c>
      <c r="AG45" s="1">
        <v>257082.9</v>
      </c>
      <c r="AH45" s="1">
        <v>4088215.6</v>
      </c>
      <c r="AI45" s="1">
        <v>6.2883889978796598E-2</v>
      </c>
      <c r="AJ45" s="1"/>
      <c r="AK45" s="22">
        <v>2106</v>
      </c>
      <c r="AL45" s="1" t="s">
        <v>61</v>
      </c>
      <c r="AM45" s="1">
        <v>2014</v>
      </c>
      <c r="AN45" s="1" t="s">
        <v>62</v>
      </c>
      <c r="AO45" s="1">
        <v>2881098.2</v>
      </c>
      <c r="AP45" s="1">
        <v>40350049.200000003</v>
      </c>
      <c r="AQ45" s="1">
        <v>7.1402594473168504E-2</v>
      </c>
      <c r="AR45" s="1"/>
      <c r="AS45" s="22">
        <v>3302</v>
      </c>
      <c r="AT45" s="1" t="s">
        <v>44</v>
      </c>
      <c r="AU45" s="1">
        <v>2014</v>
      </c>
      <c r="AV45" s="1" t="s">
        <v>62</v>
      </c>
      <c r="AW45" s="1">
        <v>473825.5</v>
      </c>
      <c r="AX45" s="1">
        <v>6735816.8000000007</v>
      </c>
      <c r="AY45" s="1">
        <v>7.03441786005818E-2</v>
      </c>
      <c r="AZ45" s="1"/>
      <c r="BA45" s="22">
        <v>4498</v>
      </c>
      <c r="BB45" s="1" t="s">
        <v>38</v>
      </c>
      <c r="BC45" s="1">
        <v>2014</v>
      </c>
      <c r="BD45" s="1" t="s">
        <v>62</v>
      </c>
      <c r="BE45" s="1">
        <v>400483.5</v>
      </c>
      <c r="BF45" s="1">
        <v>6538596.7000000002</v>
      </c>
      <c r="BG45" s="1">
        <v>6.12491515190101E-2</v>
      </c>
      <c r="BH45" s="1"/>
      <c r="BI45" s="22">
        <v>5694</v>
      </c>
      <c r="BJ45" s="1" t="s">
        <v>31</v>
      </c>
      <c r="BK45" s="1">
        <v>2014</v>
      </c>
      <c r="BL45" s="1" t="s">
        <v>62</v>
      </c>
      <c r="BM45" s="1">
        <v>512032</v>
      </c>
      <c r="BN45" s="1">
        <v>9155477.5</v>
      </c>
      <c r="BO45" s="1">
        <v>5.5926302041591998E-2</v>
      </c>
      <c r="BP45" s="1"/>
      <c r="BQ45" s="22">
        <v>6890</v>
      </c>
      <c r="BR45" s="1" t="s">
        <v>51</v>
      </c>
      <c r="BS45" s="1">
        <v>2014</v>
      </c>
      <c r="BT45" s="1" t="s">
        <v>62</v>
      </c>
      <c r="BU45" s="1">
        <v>309414.09999999998</v>
      </c>
      <c r="BV45" s="1">
        <v>4981875.5</v>
      </c>
      <c r="BW45" s="1">
        <v>6.2107955126538099E-2</v>
      </c>
      <c r="BX45" s="1"/>
      <c r="BY45" s="22">
        <v>8086</v>
      </c>
      <c r="BZ45" s="1" t="s">
        <v>57</v>
      </c>
      <c r="CA45" s="1">
        <v>2014</v>
      </c>
      <c r="CB45" s="1" t="s">
        <v>62</v>
      </c>
      <c r="CC45" s="1">
        <v>695117.3</v>
      </c>
      <c r="CD45" s="1">
        <v>11026913.800000001</v>
      </c>
      <c r="CE45" s="1">
        <v>6.3038245569671497E-2</v>
      </c>
      <c r="CF45" s="1"/>
      <c r="CG45" s="22">
        <v>956</v>
      </c>
      <c r="CH45" s="1" t="s">
        <v>17</v>
      </c>
      <c r="CI45" s="1">
        <v>2015</v>
      </c>
      <c r="CJ45" s="1" t="s">
        <v>62</v>
      </c>
      <c r="CK45" s="1">
        <v>232618.3</v>
      </c>
      <c r="CL45" s="1">
        <v>3555133.8</v>
      </c>
      <c r="CM45" s="1">
        <v>6.5431658296517495E-2</v>
      </c>
      <c r="CN45" s="1"/>
      <c r="CO45" s="22">
        <v>2152</v>
      </c>
      <c r="CP45" s="1" t="s">
        <v>61</v>
      </c>
      <c r="CQ45" s="1">
        <v>2015</v>
      </c>
      <c r="CR45" s="1" t="s">
        <v>62</v>
      </c>
      <c r="CS45" s="1">
        <v>3033624.9</v>
      </c>
      <c r="CT45" s="1">
        <v>41208556.399999999</v>
      </c>
      <c r="CU45" s="1">
        <v>7.3616383708117406E-2</v>
      </c>
      <c r="CV45" s="1"/>
      <c r="CW45" s="22">
        <v>3348</v>
      </c>
      <c r="CX45" s="1" t="s">
        <v>44</v>
      </c>
      <c r="CY45" s="1">
        <v>2015</v>
      </c>
      <c r="CZ45" s="1" t="s">
        <v>62</v>
      </c>
      <c r="DA45" s="1">
        <v>461664.6</v>
      </c>
      <c r="DB45" s="1">
        <v>6404349.4000000004</v>
      </c>
      <c r="DC45" s="1">
        <v>7.2086104483930796E-2</v>
      </c>
      <c r="DD45" s="1"/>
      <c r="DE45" s="22">
        <v>4544</v>
      </c>
      <c r="DF45" s="1" t="s">
        <v>38</v>
      </c>
      <c r="DG45" s="1">
        <v>2015</v>
      </c>
      <c r="DH45" s="1" t="s">
        <v>62</v>
      </c>
      <c r="DI45" s="1">
        <v>342282.3</v>
      </c>
      <c r="DJ45" s="1">
        <v>5531517.5999999996</v>
      </c>
      <c r="DK45" s="1">
        <v>6.1878552099337E-2</v>
      </c>
      <c r="DL45" s="1"/>
      <c r="DM45" s="22">
        <v>5740</v>
      </c>
      <c r="DN45" s="1" t="s">
        <v>31</v>
      </c>
      <c r="DO45" s="1">
        <v>2015</v>
      </c>
      <c r="DP45" s="1" t="s">
        <v>62</v>
      </c>
      <c r="DQ45" s="1">
        <v>436719.8</v>
      </c>
      <c r="DR45" s="1">
        <v>7894528</v>
      </c>
      <c r="DS45" s="1">
        <v>5.5319304713340602E-2</v>
      </c>
      <c r="DT45" s="1"/>
      <c r="DU45" s="22">
        <v>6936</v>
      </c>
      <c r="DV45" s="1" t="s">
        <v>51</v>
      </c>
      <c r="DW45" s="1">
        <v>2015</v>
      </c>
      <c r="DX45" s="1" t="s">
        <v>62</v>
      </c>
      <c r="DY45" s="1">
        <v>265706.2</v>
      </c>
      <c r="DZ45" s="1">
        <v>4209274.5999999996</v>
      </c>
      <c r="EA45" s="1">
        <v>6.31239881570093E-2</v>
      </c>
      <c r="EB45" s="1"/>
      <c r="EC45" s="22">
        <v>8132</v>
      </c>
      <c r="ED45" s="1" t="s">
        <v>57</v>
      </c>
      <c r="EE45" s="1">
        <v>2015</v>
      </c>
      <c r="EF45" s="1" t="s">
        <v>62</v>
      </c>
      <c r="EG45" s="1">
        <v>609660.80000000005</v>
      </c>
      <c r="EH45" s="1">
        <v>9729477.0999999996</v>
      </c>
      <c r="EI45" s="1">
        <v>6.2661209203113299E-2</v>
      </c>
      <c r="EJ45" s="1"/>
      <c r="EK45" s="22">
        <v>1002</v>
      </c>
      <c r="EL45" s="1" t="s">
        <v>17</v>
      </c>
      <c r="EM45" s="1">
        <v>2016</v>
      </c>
      <c r="EN45" s="1" t="s">
        <v>62</v>
      </c>
      <c r="EO45" s="1">
        <v>235309.3</v>
      </c>
      <c r="EP45" s="1">
        <v>3463407</v>
      </c>
      <c r="EQ45" s="1">
        <v>6.7941567364159003E-2</v>
      </c>
      <c r="ER45" s="1"/>
      <c r="ES45" s="22">
        <v>2198</v>
      </c>
      <c r="ET45" s="1" t="s">
        <v>61</v>
      </c>
      <c r="EU45" s="1">
        <v>2016</v>
      </c>
      <c r="EV45" s="1" t="s">
        <v>62</v>
      </c>
      <c r="EW45" s="1">
        <v>3181342.4</v>
      </c>
      <c r="EX45" s="1">
        <v>42141395.200000003</v>
      </c>
      <c r="EY45" s="1">
        <v>7.5492099511693403E-2</v>
      </c>
      <c r="EZ45" s="1"/>
      <c r="FA45" s="22">
        <v>3394</v>
      </c>
      <c r="FB45" s="1" t="s">
        <v>44</v>
      </c>
      <c r="FC45" s="1">
        <v>2016</v>
      </c>
      <c r="FD45" s="1" t="s">
        <v>62</v>
      </c>
      <c r="FE45" s="1">
        <v>426930.3</v>
      </c>
      <c r="FF45" s="1">
        <v>5868597.7999999998</v>
      </c>
      <c r="FG45" s="1">
        <v>7.2748263648260203E-2</v>
      </c>
      <c r="FH45" s="1"/>
      <c r="FI45" s="22">
        <v>4590</v>
      </c>
      <c r="FJ45" s="1" t="s">
        <v>38</v>
      </c>
      <c r="FK45" s="1">
        <v>2016</v>
      </c>
      <c r="FL45" s="1" t="s">
        <v>62</v>
      </c>
      <c r="FM45" s="1">
        <v>350296.5</v>
      </c>
      <c r="FN45" s="1">
        <v>5582986.5</v>
      </c>
      <c r="FO45" s="1">
        <v>6.2743569234852997E-2</v>
      </c>
      <c r="FP45" s="1"/>
      <c r="FQ45" s="22">
        <v>5786</v>
      </c>
      <c r="FR45" s="1" t="s">
        <v>31</v>
      </c>
      <c r="FS45" s="1">
        <v>2016</v>
      </c>
      <c r="FT45" s="1" t="s">
        <v>62</v>
      </c>
      <c r="FU45" s="1">
        <v>449199</v>
      </c>
      <c r="FV45" s="1">
        <v>8130820.9000000004</v>
      </c>
      <c r="FW45" s="1">
        <v>5.52464511916625E-2</v>
      </c>
      <c r="FX45" s="1"/>
      <c r="FY45" s="22">
        <v>6982</v>
      </c>
      <c r="FZ45" s="1" t="s">
        <v>51</v>
      </c>
      <c r="GA45" s="1">
        <v>2016</v>
      </c>
      <c r="GB45" s="1" t="s">
        <v>62</v>
      </c>
      <c r="GC45" s="1">
        <v>268161.40000000002</v>
      </c>
      <c r="GD45" s="1">
        <v>4230502.5999999996</v>
      </c>
      <c r="GE45" s="1">
        <v>6.3387598438067294E-2</v>
      </c>
      <c r="GF45" s="1"/>
      <c r="GG45" s="22">
        <v>8178</v>
      </c>
      <c r="GH45" s="1" t="s">
        <v>57</v>
      </c>
      <c r="GI45" s="1">
        <v>2016</v>
      </c>
      <c r="GJ45" s="1" t="s">
        <v>62</v>
      </c>
      <c r="GK45" s="1">
        <v>681309.5</v>
      </c>
      <c r="GL45" s="1">
        <v>10773649.5</v>
      </c>
      <c r="GM45" s="1">
        <v>6.3238506134806E-2</v>
      </c>
      <c r="GN45" s="1"/>
      <c r="GO45" s="22">
        <v>1048</v>
      </c>
      <c r="GP45" s="1" t="s">
        <v>17</v>
      </c>
      <c r="GQ45" s="1">
        <v>2017</v>
      </c>
      <c r="GR45" s="1" t="s">
        <v>62</v>
      </c>
      <c r="GS45" s="1">
        <v>249589.7</v>
      </c>
      <c r="GT45" s="1">
        <v>3719735.5</v>
      </c>
      <c r="GU45" s="1">
        <v>6.7098776243633404E-2</v>
      </c>
      <c r="GV45" s="1"/>
      <c r="GW45" s="22">
        <v>2244</v>
      </c>
      <c r="GX45" s="1" t="s">
        <v>61</v>
      </c>
      <c r="GY45" s="1">
        <v>2017</v>
      </c>
      <c r="GZ45" s="1" t="s">
        <v>62</v>
      </c>
      <c r="HA45" s="1">
        <v>3293279.5</v>
      </c>
      <c r="HB45" s="1">
        <v>44107004.100000001</v>
      </c>
      <c r="HC45" s="1">
        <v>7.4665681045428298E-2</v>
      </c>
      <c r="HD45" s="1"/>
      <c r="HE45" s="22">
        <v>3440</v>
      </c>
      <c r="HF45" s="1" t="s">
        <v>44</v>
      </c>
      <c r="HG45" s="1">
        <v>2017</v>
      </c>
      <c r="HH45" s="1" t="s">
        <v>62</v>
      </c>
      <c r="HI45" s="1">
        <v>412830.7</v>
      </c>
      <c r="HJ45" s="1">
        <v>5855367.5</v>
      </c>
      <c r="HK45" s="1">
        <v>7.0504660894469898E-2</v>
      </c>
      <c r="HL45" s="1"/>
      <c r="HM45" s="22">
        <v>4636</v>
      </c>
      <c r="HN45" s="1" t="s">
        <v>38</v>
      </c>
      <c r="HO45" s="1">
        <v>2017</v>
      </c>
      <c r="HP45" s="1" t="s">
        <v>62</v>
      </c>
      <c r="HQ45" s="1">
        <v>367805.4</v>
      </c>
      <c r="HR45" s="1">
        <v>5923445.7000000002</v>
      </c>
      <c r="HS45" s="1">
        <v>6.2093149600409098E-2</v>
      </c>
      <c r="HT45" s="1"/>
      <c r="HU45" s="22">
        <v>5832</v>
      </c>
      <c r="HV45" s="1" t="s">
        <v>31</v>
      </c>
      <c r="HW45" s="1">
        <v>2017</v>
      </c>
      <c r="HX45" s="1" t="s">
        <v>62</v>
      </c>
      <c r="HY45" s="1">
        <v>468973.4</v>
      </c>
      <c r="HZ45" s="1">
        <v>8686095.3000000007</v>
      </c>
      <c r="IA45" s="1">
        <v>5.3991279602930403E-2</v>
      </c>
      <c r="IB45" s="1"/>
      <c r="IC45" s="22">
        <v>7028</v>
      </c>
      <c r="ID45" s="1" t="s">
        <v>51</v>
      </c>
      <c r="IE45" s="1">
        <v>2017</v>
      </c>
      <c r="IF45" s="1" t="s">
        <v>62</v>
      </c>
      <c r="IG45" s="1">
        <v>277833.09999999998</v>
      </c>
      <c r="IH45" s="1">
        <v>4472691.8</v>
      </c>
      <c r="II45" s="1">
        <v>6.2117649152575102E-2</v>
      </c>
      <c r="IJ45" s="1"/>
      <c r="IK45" s="22">
        <v>8224</v>
      </c>
      <c r="IL45" s="1" t="s">
        <v>57</v>
      </c>
      <c r="IM45" s="1">
        <v>2017</v>
      </c>
      <c r="IN45" s="1" t="s">
        <v>62</v>
      </c>
      <c r="IO45" s="1">
        <v>660616.69999999995</v>
      </c>
      <c r="IP45" s="1">
        <v>10750260.5</v>
      </c>
      <c r="IQ45" s="1">
        <v>6.1451227158634797E-2</v>
      </c>
      <c r="IR45" s="1"/>
      <c r="IS45" s="22">
        <v>1094</v>
      </c>
      <c r="IT45" s="1" t="s">
        <v>17</v>
      </c>
      <c r="IU45" s="1">
        <v>2018</v>
      </c>
      <c r="IV45" s="1" t="s">
        <v>62</v>
      </c>
      <c r="IW45" s="1">
        <v>256408.1</v>
      </c>
      <c r="IX45" s="1">
        <v>3904165.4</v>
      </c>
      <c r="IY45" s="1">
        <v>6.5675521841364604E-2</v>
      </c>
      <c r="IZ45" s="1"/>
      <c r="JA45" s="22">
        <v>2290</v>
      </c>
      <c r="JB45" s="1" t="s">
        <v>61</v>
      </c>
      <c r="JC45" s="1">
        <v>2018</v>
      </c>
      <c r="JD45" s="1" t="s">
        <v>62</v>
      </c>
      <c r="JE45" s="1">
        <v>3444952.2</v>
      </c>
      <c r="JF45" s="1">
        <v>46669099.200000003</v>
      </c>
      <c r="JG45" s="1">
        <v>7.3816556544978207E-2</v>
      </c>
      <c r="JH45" s="1"/>
      <c r="JI45" s="22">
        <v>3486</v>
      </c>
      <c r="JJ45" s="1" t="s">
        <v>44</v>
      </c>
      <c r="JK45" s="1">
        <v>2018</v>
      </c>
      <c r="JL45" s="1" t="s">
        <v>62</v>
      </c>
      <c r="JM45" s="1">
        <v>439963.8</v>
      </c>
      <c r="JN45" s="1">
        <v>6336724.7000000002</v>
      </c>
      <c r="JO45" s="1">
        <v>6.9430789694871806E-2</v>
      </c>
      <c r="JP45" s="1"/>
      <c r="JQ45" s="22">
        <v>4682</v>
      </c>
      <c r="JR45" s="1" t="s">
        <v>38</v>
      </c>
      <c r="JS45" s="1">
        <v>2018</v>
      </c>
      <c r="JT45" s="1" t="s">
        <v>62</v>
      </c>
      <c r="JU45" s="1">
        <v>392450.3</v>
      </c>
      <c r="JV45" s="1">
        <v>6390706</v>
      </c>
      <c r="JW45" s="1">
        <v>6.1409537537793102E-2</v>
      </c>
      <c r="JX45" s="1"/>
      <c r="JY45" s="22">
        <v>5878</v>
      </c>
      <c r="JZ45" s="1" t="s">
        <v>31</v>
      </c>
      <c r="KA45" s="1">
        <v>2018</v>
      </c>
      <c r="KB45" s="1" t="s">
        <v>62</v>
      </c>
      <c r="KC45" s="1">
        <v>509648.4</v>
      </c>
      <c r="KD45" s="1">
        <v>9443218.3000000007</v>
      </c>
      <c r="KE45" s="1">
        <v>5.3969778502314103E-2</v>
      </c>
      <c r="KF45" s="1"/>
      <c r="KG45" s="22">
        <v>7074</v>
      </c>
      <c r="KH45" s="1" t="s">
        <v>51</v>
      </c>
      <c r="KI45" s="1">
        <v>2018</v>
      </c>
      <c r="KJ45" s="1" t="s">
        <v>62</v>
      </c>
      <c r="KK45" s="1">
        <v>294314.5</v>
      </c>
      <c r="KL45" s="1">
        <v>4803387.8</v>
      </c>
      <c r="KM45" s="1">
        <v>6.1272275371977998E-2</v>
      </c>
      <c r="KN45" s="1"/>
      <c r="KO45" s="22">
        <v>8270</v>
      </c>
      <c r="KP45" s="1" t="s">
        <v>57</v>
      </c>
      <c r="KQ45" s="1">
        <v>2018</v>
      </c>
      <c r="KR45" s="1" t="s">
        <v>62</v>
      </c>
      <c r="KS45" s="1">
        <v>672185.7</v>
      </c>
      <c r="KT45" s="1">
        <v>11172914.4</v>
      </c>
      <c r="KU45" s="1">
        <v>6.0162073737895998E-2</v>
      </c>
      <c r="KV45" s="1"/>
      <c r="KW45" s="22">
        <v>1140</v>
      </c>
      <c r="KX45" s="1" t="s">
        <v>17</v>
      </c>
      <c r="KY45" s="1">
        <v>2019</v>
      </c>
      <c r="KZ45" s="1" t="s">
        <v>62</v>
      </c>
      <c r="LA45" s="1">
        <v>265475.3</v>
      </c>
      <c r="LB45" s="1">
        <v>3955328</v>
      </c>
      <c r="LC45" s="1">
        <v>6.7118403328371198E-2</v>
      </c>
      <c r="LD45" s="1"/>
      <c r="LE45" s="22">
        <v>2336</v>
      </c>
      <c r="LF45" s="1" t="s">
        <v>61</v>
      </c>
      <c r="LG45" s="1">
        <v>2019</v>
      </c>
      <c r="LH45" s="1" t="s">
        <v>62</v>
      </c>
      <c r="LI45" s="1">
        <v>3691872.9</v>
      </c>
      <c r="LJ45" s="1">
        <v>48356774.5</v>
      </c>
      <c r="LK45" s="1">
        <v>7.6346549954443302E-2</v>
      </c>
      <c r="LL45" s="1"/>
      <c r="LM45" s="22">
        <v>3532</v>
      </c>
      <c r="LN45" s="1" t="s">
        <v>44</v>
      </c>
      <c r="LO45" s="1">
        <v>2019</v>
      </c>
      <c r="LP45" s="1" t="s">
        <v>62</v>
      </c>
      <c r="LQ45" s="1">
        <v>430894.1</v>
      </c>
      <c r="LR45" s="1">
        <v>6269787.0999999996</v>
      </c>
      <c r="LS45" s="1">
        <v>6.8725475542861694E-2</v>
      </c>
      <c r="LT45" s="1"/>
      <c r="LU45" s="22">
        <v>4728</v>
      </c>
      <c r="LV45" s="1" t="s">
        <v>38</v>
      </c>
      <c r="LW45" s="1">
        <v>2019</v>
      </c>
      <c r="LX45" s="1" t="s">
        <v>62</v>
      </c>
      <c r="LY45" s="1">
        <v>381586.3</v>
      </c>
      <c r="LZ45" s="1">
        <v>6182094.5</v>
      </c>
      <c r="MA45" s="1">
        <v>6.17244365966906E-2</v>
      </c>
      <c r="MB45" s="1"/>
      <c r="MC45" s="22">
        <v>5924</v>
      </c>
      <c r="MD45" s="1" t="s">
        <v>31</v>
      </c>
      <c r="ME45" s="1">
        <v>2019</v>
      </c>
      <c r="MF45" s="1" t="s">
        <v>62</v>
      </c>
      <c r="MG45" s="1">
        <v>494098.4</v>
      </c>
      <c r="MH45" s="1">
        <v>9237079</v>
      </c>
      <c r="MI45" s="1">
        <v>5.3490762610128098E-2</v>
      </c>
      <c r="MJ45" s="1"/>
      <c r="MK45" s="22">
        <v>7120</v>
      </c>
      <c r="ML45" s="1" t="s">
        <v>51</v>
      </c>
      <c r="MM45" s="1">
        <v>2019</v>
      </c>
      <c r="MN45" s="1" t="s">
        <v>62</v>
      </c>
      <c r="MO45" s="1">
        <v>276307.5</v>
      </c>
      <c r="MP45" s="1">
        <v>4608662</v>
      </c>
      <c r="MQ45" s="1">
        <v>5.9953951927913099E-2</v>
      </c>
      <c r="MR45" s="1"/>
      <c r="MS45" s="22">
        <v>8316</v>
      </c>
      <c r="MT45" s="1" t="s">
        <v>57</v>
      </c>
      <c r="MU45" s="1">
        <v>2019</v>
      </c>
      <c r="MV45" s="1" t="s">
        <v>62</v>
      </c>
      <c r="MW45" s="1">
        <v>687202.6</v>
      </c>
      <c r="MX45" s="1">
        <v>11338077</v>
      </c>
      <c r="MY45" s="1">
        <v>6.0610154614402403E-2</v>
      </c>
      <c r="MZ45" s="1"/>
      <c r="NA45" s="22">
        <v>1186</v>
      </c>
      <c r="NB45" s="1" t="s">
        <v>17</v>
      </c>
      <c r="NC45" s="1">
        <v>2020</v>
      </c>
      <c r="ND45" s="1" t="s">
        <v>62</v>
      </c>
      <c r="NE45" s="1">
        <v>280319.09999999998</v>
      </c>
      <c r="NF45" s="1">
        <v>3784752.3</v>
      </c>
      <c r="NG45" s="1">
        <v>7.4065375427607202E-2</v>
      </c>
      <c r="NH45" s="1"/>
      <c r="NI45" s="22">
        <v>2382</v>
      </c>
      <c r="NJ45" s="1" t="s">
        <v>61</v>
      </c>
      <c r="NK45" s="1">
        <v>2020</v>
      </c>
      <c r="NL45" s="1" t="s">
        <v>62</v>
      </c>
      <c r="NM45" s="1">
        <v>3722780.9</v>
      </c>
      <c r="NN45" s="1">
        <v>47421769.399999999</v>
      </c>
      <c r="NO45" s="1">
        <v>7.8503627070482099E-2</v>
      </c>
      <c r="NP45" s="1"/>
      <c r="NQ45" s="22">
        <v>3578</v>
      </c>
      <c r="NR45" s="1" t="s">
        <v>44</v>
      </c>
      <c r="NS45" s="1">
        <v>2020</v>
      </c>
      <c r="NT45" s="1" t="s">
        <v>62</v>
      </c>
      <c r="NU45" s="1">
        <v>434048.9</v>
      </c>
      <c r="NV45" s="1">
        <v>5955345.3666666672</v>
      </c>
      <c r="NW45" s="1">
        <v>7.2883917434824794E-2</v>
      </c>
      <c r="NX45" s="1"/>
      <c r="NY45" s="22">
        <v>4774</v>
      </c>
      <c r="NZ45" s="1" t="s">
        <v>38</v>
      </c>
      <c r="OA45" s="1">
        <v>2020</v>
      </c>
      <c r="OB45" s="1" t="s">
        <v>62</v>
      </c>
      <c r="OC45" s="1">
        <v>389904</v>
      </c>
      <c r="OD45" s="1">
        <v>5990228.4000000004</v>
      </c>
      <c r="OE45" s="1">
        <v>6.5090005583092594E-2</v>
      </c>
      <c r="OF45" s="1"/>
      <c r="OG45" s="22">
        <v>5970</v>
      </c>
      <c r="OH45" s="1" t="s">
        <v>31</v>
      </c>
      <c r="OI45" s="1">
        <v>2020</v>
      </c>
      <c r="OJ45" s="1" t="s">
        <v>62</v>
      </c>
      <c r="OK45" s="1">
        <v>516405</v>
      </c>
      <c r="OL45" s="1">
        <v>9257180.0999999996</v>
      </c>
      <c r="OM45" s="1">
        <v>5.5784266312373001E-2</v>
      </c>
      <c r="ON45" s="1"/>
      <c r="OO45" s="22">
        <v>7166</v>
      </c>
      <c r="OP45" s="1" t="s">
        <v>51</v>
      </c>
      <c r="OQ45" s="1">
        <v>2020</v>
      </c>
      <c r="OR45" s="1" t="s">
        <v>62</v>
      </c>
      <c r="OS45" s="1">
        <v>275843.8</v>
      </c>
      <c r="OT45" s="1">
        <v>4352046.4000000004</v>
      </c>
      <c r="OU45" s="1">
        <v>6.3382550333102999E-2</v>
      </c>
      <c r="OV45" s="1"/>
      <c r="OW45" s="22">
        <v>8362</v>
      </c>
      <c r="OX45" s="1" t="s">
        <v>57</v>
      </c>
      <c r="OY45" s="1">
        <v>2020</v>
      </c>
      <c r="OZ45" s="1" t="s">
        <v>62</v>
      </c>
      <c r="PA45" s="1">
        <v>718329.5</v>
      </c>
      <c r="PB45" s="1">
        <v>11082248.733333331</v>
      </c>
      <c r="PC45" s="1">
        <v>6.4818027214945895E-2</v>
      </c>
      <c r="PD45" s="1"/>
      <c r="PE45" s="22">
        <v>8408</v>
      </c>
      <c r="PF45" s="1" t="s">
        <v>17</v>
      </c>
      <c r="PG45" s="1">
        <v>2021</v>
      </c>
      <c r="PH45" s="1" t="s">
        <v>62</v>
      </c>
      <c r="PI45" s="1">
        <v>342404.17318443162</v>
      </c>
      <c r="PJ45" s="1">
        <v>4622999.2247741111</v>
      </c>
      <c r="PK45" s="1">
        <v>7.4065375427607202E-2</v>
      </c>
      <c r="PL45" s="1"/>
      <c r="PM45" s="22">
        <v>9328</v>
      </c>
      <c r="PN45" s="1" t="s">
        <v>61</v>
      </c>
      <c r="PO45" s="1">
        <v>2021</v>
      </c>
      <c r="PP45" s="1" t="s">
        <v>62</v>
      </c>
      <c r="PQ45" s="1">
        <v>4128477.3907156</v>
      </c>
      <c r="PR45" s="1">
        <v>52589638.782026872</v>
      </c>
      <c r="PS45" s="1">
        <v>7.8503627070482099E-2</v>
      </c>
      <c r="PT45" s="1"/>
      <c r="PU45" s="22">
        <v>10248</v>
      </c>
      <c r="PV45" s="1" t="s">
        <v>44</v>
      </c>
      <c r="PW45" s="1">
        <v>2021</v>
      </c>
      <c r="PX45" s="1" t="s">
        <v>62</v>
      </c>
      <c r="PY45" s="1">
        <v>505919.87049295788</v>
      </c>
      <c r="PZ45" s="1">
        <v>6941447.2808129201</v>
      </c>
      <c r="QA45" s="1">
        <v>7.2883917434824794E-2</v>
      </c>
      <c r="QB45" s="1"/>
      <c r="QC45" s="22">
        <v>11168</v>
      </c>
      <c r="QD45" s="1" t="s">
        <v>38</v>
      </c>
      <c r="QE45" s="1">
        <v>2021</v>
      </c>
      <c r="QF45" s="1" t="s">
        <v>62</v>
      </c>
      <c r="QG45" s="1">
        <v>436802.68085636687</v>
      </c>
      <c r="QH45" s="1">
        <v>6710748.8614170318</v>
      </c>
      <c r="QI45" s="1">
        <v>6.5090005583092594E-2</v>
      </c>
      <c r="QJ45" s="1"/>
      <c r="QK45" s="22">
        <v>12088</v>
      </c>
      <c r="QL45" s="1" t="s">
        <v>31</v>
      </c>
      <c r="QM45" s="1">
        <v>2021</v>
      </c>
      <c r="QN45" s="1" t="s">
        <v>62</v>
      </c>
      <c r="QO45" s="1">
        <v>569899.51156557864</v>
      </c>
      <c r="QP45" s="1">
        <v>10216133.49495957</v>
      </c>
      <c r="QQ45" s="1">
        <v>5.5784266312373001E-2</v>
      </c>
      <c r="QR45" s="1"/>
      <c r="QS45" s="22">
        <v>13008</v>
      </c>
      <c r="QT45" s="1" t="s">
        <v>51</v>
      </c>
      <c r="QU45" s="1">
        <v>2021</v>
      </c>
      <c r="QV45" s="1" t="s">
        <v>62</v>
      </c>
      <c r="QW45" s="1">
        <v>315139.11936062208</v>
      </c>
      <c r="QX45" s="1">
        <v>4972017.0252605537</v>
      </c>
      <c r="QY45" s="1">
        <v>6.3382550333102999E-2</v>
      </c>
      <c r="QZ45" s="1"/>
      <c r="RA45" s="22">
        <v>13928</v>
      </c>
      <c r="RB45" s="1" t="s">
        <v>57</v>
      </c>
      <c r="RC45" s="1">
        <v>2021</v>
      </c>
      <c r="RD45" s="1" t="s">
        <v>62</v>
      </c>
      <c r="RE45" s="1">
        <v>716208.93654519995</v>
      </c>
      <c r="RF45" s="1">
        <v>11049533.09007922</v>
      </c>
      <c r="RG45" s="1">
        <v>6.4818027214945895E-2</v>
      </c>
      <c r="RH45" s="1"/>
      <c r="RI45" s="22">
        <v>8454</v>
      </c>
      <c r="RJ45" s="1" t="s">
        <v>17</v>
      </c>
      <c r="RK45" s="1">
        <v>2022</v>
      </c>
      <c r="RL45" s="1" t="s">
        <v>62</v>
      </c>
      <c r="RM45" s="1">
        <v>370852.91833627247</v>
      </c>
      <c r="RN45" s="1">
        <v>5007102.3902221443</v>
      </c>
      <c r="RO45" s="1">
        <v>7.4065375427607202E-2</v>
      </c>
      <c r="RP45" s="1"/>
      <c r="RQ45" s="22">
        <v>9374</v>
      </c>
      <c r="RR45" s="1" t="s">
        <v>61</v>
      </c>
      <c r="RS45" s="1">
        <v>2022</v>
      </c>
      <c r="RT45" s="1" t="s">
        <v>62</v>
      </c>
      <c r="RU45" s="1">
        <v>4533929.8115214407</v>
      </c>
      <c r="RV45" s="1">
        <v>57754399.13688051</v>
      </c>
      <c r="RW45" s="1">
        <v>7.8503627070482099E-2</v>
      </c>
      <c r="RX45" s="1"/>
      <c r="RY45" s="22">
        <v>10294</v>
      </c>
      <c r="RZ45" s="1" t="s">
        <v>44</v>
      </c>
      <c r="SA45" s="1">
        <v>2022</v>
      </c>
      <c r="SB45" s="1" t="s">
        <v>62</v>
      </c>
      <c r="SC45" s="1">
        <v>501207.2310518467</v>
      </c>
      <c r="SD45" s="1">
        <v>6876787.7563667288</v>
      </c>
      <c r="SE45" s="1">
        <v>7.2883917434824794E-2</v>
      </c>
      <c r="SF45" s="1"/>
      <c r="SG45" s="22">
        <v>11214</v>
      </c>
      <c r="SH45" s="1" t="s">
        <v>38</v>
      </c>
      <c r="SI45" s="1">
        <v>2022</v>
      </c>
      <c r="SJ45" s="1" t="s">
        <v>62</v>
      </c>
      <c r="SK45" s="1">
        <v>411751.27560018568</v>
      </c>
      <c r="SL45" s="1">
        <v>6325875.5612572851</v>
      </c>
      <c r="SM45" s="1">
        <v>6.5090005583092594E-2</v>
      </c>
      <c r="SN45" s="1"/>
      <c r="SO45" s="22">
        <v>12134</v>
      </c>
      <c r="SP45" s="1" t="s">
        <v>31</v>
      </c>
      <c r="SQ45" s="1">
        <v>2022</v>
      </c>
      <c r="SR45" s="1" t="s">
        <v>62</v>
      </c>
      <c r="SS45" s="1">
        <v>545692.24900638021</v>
      </c>
      <c r="ST45" s="1">
        <v>9782189.227885304</v>
      </c>
      <c r="SU45" s="1">
        <v>5.5784266312373001E-2</v>
      </c>
      <c r="SV45" s="1"/>
      <c r="SW45" s="22">
        <v>13054</v>
      </c>
      <c r="SX45" s="1" t="s">
        <v>51</v>
      </c>
      <c r="SY45" s="1">
        <v>2022</v>
      </c>
      <c r="SZ45" s="1" t="s">
        <v>62</v>
      </c>
      <c r="TA45" s="1">
        <v>304273.00116698438</v>
      </c>
      <c r="TB45" s="1">
        <v>4800579.963537232</v>
      </c>
      <c r="TC45" s="1">
        <v>6.3382550333102999E-2</v>
      </c>
      <c r="TD45" s="1"/>
      <c r="TE45" s="22">
        <v>13974</v>
      </c>
      <c r="TF45" s="1" t="s">
        <v>57</v>
      </c>
      <c r="TG45" s="1">
        <v>2022</v>
      </c>
      <c r="TH45" s="1" t="s">
        <v>62</v>
      </c>
      <c r="TI45" s="1">
        <v>605818.82731541095</v>
      </c>
      <c r="TJ45" s="1">
        <v>9346455.8140041605</v>
      </c>
      <c r="TK45" s="1">
        <v>6.4818027214945895E-2</v>
      </c>
      <c r="TL45" s="1"/>
      <c r="TM45" s="22">
        <v>8500</v>
      </c>
      <c r="TN45" s="1" t="s">
        <v>17</v>
      </c>
      <c r="TO45" s="1">
        <v>2023</v>
      </c>
      <c r="TP45" s="1" t="s">
        <v>62</v>
      </c>
      <c r="TQ45" s="1">
        <v>367962.83870917058</v>
      </c>
      <c r="TR45" s="1">
        <v>4968081.7329930915</v>
      </c>
      <c r="TS45" s="1">
        <v>7.4065375427607202E-2</v>
      </c>
      <c r="TT45" s="1"/>
      <c r="TU45" s="22">
        <v>9420</v>
      </c>
      <c r="TV45" s="1" t="s">
        <v>61</v>
      </c>
      <c r="TW45" s="1">
        <v>2023</v>
      </c>
      <c r="TX45" s="1" t="s">
        <v>62</v>
      </c>
      <c r="TY45" s="1">
        <v>4832706.2481973013</v>
      </c>
      <c r="TZ45" s="1">
        <v>61560292.543660469</v>
      </c>
      <c r="UA45" s="1">
        <v>7.8503627070482099E-2</v>
      </c>
      <c r="UB45" s="1"/>
      <c r="UC45" s="22">
        <v>10340</v>
      </c>
      <c r="UD45" s="1" t="s">
        <v>44</v>
      </c>
      <c r="UE45" s="1">
        <v>2023</v>
      </c>
      <c r="UF45" s="1" t="s">
        <v>62</v>
      </c>
      <c r="UG45" s="1">
        <v>542381.66485734808</v>
      </c>
      <c r="UH45" s="1">
        <v>7441719.4347760417</v>
      </c>
      <c r="UI45" s="1">
        <v>7.2883917434824794E-2</v>
      </c>
      <c r="UJ45" s="1"/>
      <c r="UK45" s="22">
        <v>11260</v>
      </c>
      <c r="UL45" s="1" t="s">
        <v>38</v>
      </c>
      <c r="UM45" s="1">
        <v>2023</v>
      </c>
      <c r="UN45" s="1" t="s">
        <v>62</v>
      </c>
      <c r="UO45" s="1">
        <v>449377.71176730492</v>
      </c>
      <c r="UP45" s="1">
        <v>6903943.3587640161</v>
      </c>
      <c r="UQ45" s="1">
        <v>6.5090005583092594E-2</v>
      </c>
      <c r="UR45" s="1"/>
      <c r="US45" s="22">
        <v>12180</v>
      </c>
      <c r="UT45" s="1" t="s">
        <v>31</v>
      </c>
      <c r="UU45" s="1">
        <v>2023</v>
      </c>
      <c r="UV45" s="1" t="s">
        <v>62</v>
      </c>
      <c r="UW45" s="1">
        <v>593150.01713137061</v>
      </c>
      <c r="UX45" s="1">
        <v>10632926.743356841</v>
      </c>
      <c r="UY45" s="1">
        <v>5.5784266312373001E-2</v>
      </c>
      <c r="UZ45" s="1"/>
      <c r="VA45" s="22">
        <v>13100</v>
      </c>
      <c r="VB45" s="1" t="s">
        <v>51</v>
      </c>
      <c r="VC45" s="1">
        <v>2023</v>
      </c>
      <c r="VD45" s="1" t="s">
        <v>62</v>
      </c>
      <c r="VE45" s="1">
        <v>333273.41828905122</v>
      </c>
      <c r="VF45" s="1">
        <v>5258125.7228930313</v>
      </c>
      <c r="VG45" s="1">
        <v>6.3382550333102999E-2</v>
      </c>
      <c r="VH45" s="1"/>
      <c r="VI45" s="22">
        <v>14020</v>
      </c>
      <c r="VJ45" s="1" t="s">
        <v>57</v>
      </c>
      <c r="VK45" s="1">
        <v>2023</v>
      </c>
      <c r="VL45" s="1" t="s">
        <v>62</v>
      </c>
      <c r="VM45" s="1">
        <v>598813.29295300588</v>
      </c>
      <c r="VN45" s="1">
        <v>9238375.7834414635</v>
      </c>
      <c r="VO45" s="1">
        <v>6.4818027214945895E-2</v>
      </c>
      <c r="VP45" s="1"/>
      <c r="VQ45" s="22">
        <v>8546</v>
      </c>
      <c r="VR45" s="1" t="s">
        <v>17</v>
      </c>
      <c r="VS45" s="1">
        <v>2024</v>
      </c>
      <c r="VT45" s="1" t="s">
        <v>62</v>
      </c>
      <c r="VU45" s="1">
        <v>379460.51342952717</v>
      </c>
      <c r="VV45" s="1">
        <v>5123318.5714479852</v>
      </c>
      <c r="VW45" s="1">
        <v>7.4065375427607202E-2</v>
      </c>
      <c r="VX45" s="1"/>
      <c r="VY45" s="22">
        <v>9466</v>
      </c>
      <c r="VZ45" s="1" t="s">
        <v>61</v>
      </c>
      <c r="WA45" s="1">
        <v>2024</v>
      </c>
      <c r="WB45" s="1" t="s">
        <v>62</v>
      </c>
      <c r="WC45" s="1">
        <v>5087968.5066760005</v>
      </c>
      <c r="WD45" s="1">
        <v>64811890.820126347</v>
      </c>
      <c r="WE45" s="1">
        <v>7.8503627070482099E-2</v>
      </c>
      <c r="WF45" s="1"/>
      <c r="WG45" s="22">
        <v>10386</v>
      </c>
      <c r="WH45" s="1" t="s">
        <v>44</v>
      </c>
      <c r="WI45" s="1">
        <v>2024</v>
      </c>
      <c r="WJ45" s="1" t="s">
        <v>62</v>
      </c>
      <c r="WK45" s="1">
        <v>586477.35569345625</v>
      </c>
      <c r="WL45" s="1">
        <v>8046732.0684004631</v>
      </c>
      <c r="WM45" s="1">
        <v>7.2883917434824794E-2</v>
      </c>
      <c r="WN45" s="1"/>
      <c r="WO45" s="22">
        <v>11306</v>
      </c>
      <c r="WP45" s="1" t="s">
        <v>38</v>
      </c>
      <c r="WQ45" s="1">
        <v>2024</v>
      </c>
      <c r="WR45" s="1" t="s">
        <v>62</v>
      </c>
      <c r="WS45" s="1">
        <v>465611.87052527798</v>
      </c>
      <c r="WT45" s="1">
        <v>7153354.2877160665</v>
      </c>
      <c r="WU45" s="1">
        <v>6.5090005583092594E-2</v>
      </c>
      <c r="WV45" s="1"/>
      <c r="WW45" s="22">
        <v>12226</v>
      </c>
      <c r="WX45" s="1" t="s">
        <v>31</v>
      </c>
      <c r="WY45" s="1">
        <v>2024</v>
      </c>
      <c r="WZ45" s="1" t="s">
        <v>62</v>
      </c>
      <c r="XA45" s="1">
        <v>610742.55017588171</v>
      </c>
      <c r="XB45" s="1">
        <v>10948294.03609846</v>
      </c>
      <c r="XC45" s="1">
        <v>5.5784266312373001E-2</v>
      </c>
      <c r="XD45" s="1"/>
      <c r="XE45" s="22">
        <v>13146</v>
      </c>
      <c r="XF45" s="1" t="s">
        <v>51</v>
      </c>
      <c r="XG45" s="1">
        <v>2024</v>
      </c>
      <c r="XH45" s="1" t="s">
        <v>62</v>
      </c>
      <c r="XI45" s="1">
        <v>343130.14727598679</v>
      </c>
      <c r="XJ45" s="1">
        <v>5413637.436055948</v>
      </c>
      <c r="XK45" s="1">
        <v>6.3382550333102999E-2</v>
      </c>
      <c r="XL45" s="1"/>
      <c r="XM45" s="22">
        <v>14066</v>
      </c>
      <c r="XN45" s="1" t="s">
        <v>57</v>
      </c>
      <c r="XO45" s="1">
        <v>2024</v>
      </c>
      <c r="XP45" s="1" t="s">
        <v>62</v>
      </c>
      <c r="XQ45" s="1">
        <v>572240.87046578282</v>
      </c>
      <c r="XR45" s="1">
        <v>8828421.583522588</v>
      </c>
      <c r="XS45" s="1">
        <v>6.4818027214945895E-2</v>
      </c>
      <c r="XT45" s="1"/>
    </row>
    <row r="46" spans="1:644" x14ac:dyDescent="0.25">
      <c r="A46" s="2">
        <v>37</v>
      </c>
      <c r="B46" s="1" t="s">
        <v>17</v>
      </c>
      <c r="C46" s="1" t="s">
        <v>62</v>
      </c>
      <c r="D46" s="1">
        <v>6.2883889978796612E-2</v>
      </c>
      <c r="E46" s="1">
        <v>6.543165829651755E-2</v>
      </c>
      <c r="F46" s="1">
        <v>6.7941567364159045E-2</v>
      </c>
      <c r="G46" s="1">
        <v>6.7098776243633459E-2</v>
      </c>
      <c r="H46" s="1">
        <v>6.5675521841364604E-2</v>
      </c>
      <c r="I46" s="1">
        <v>6.7118403328371254E-2</v>
      </c>
      <c r="J46" s="1">
        <v>7.4065375427607244E-2</v>
      </c>
      <c r="K46" s="1">
        <v>7.4065375427607355E-2</v>
      </c>
      <c r="L46" s="1">
        <v>7.4065375427607355E-2</v>
      </c>
      <c r="M46" s="1">
        <v>7.4065375427607341E-2</v>
      </c>
      <c r="N46" s="1">
        <v>7.4065375427607355E-2</v>
      </c>
      <c r="O46" s="1">
        <v>6.9679699471898116E-2</v>
      </c>
      <c r="P46" s="1"/>
      <c r="Q46" s="2">
        <v>301</v>
      </c>
      <c r="R46" s="1" t="s">
        <v>61</v>
      </c>
      <c r="S46" s="17" t="s">
        <v>21</v>
      </c>
      <c r="T46" s="17">
        <v>7.7808363683172441E-2</v>
      </c>
      <c r="U46" s="1"/>
      <c r="AC46" s="22">
        <v>911</v>
      </c>
      <c r="AD46" s="18" t="s">
        <v>17</v>
      </c>
      <c r="AE46" s="18">
        <v>2014</v>
      </c>
      <c r="AF46" s="18" t="s">
        <v>29</v>
      </c>
      <c r="AG46" s="18">
        <v>115871.6</v>
      </c>
      <c r="AH46" s="18">
        <v>4088215.6</v>
      </c>
      <c r="AI46" s="18">
        <v>2.8342830060136701E-2</v>
      </c>
      <c r="AJ46" s="1"/>
      <c r="AK46" s="22">
        <v>2107</v>
      </c>
      <c r="AL46" s="1" t="s">
        <v>61</v>
      </c>
      <c r="AM46" s="1">
        <v>2014</v>
      </c>
      <c r="AN46" s="1" t="s">
        <v>29</v>
      </c>
      <c r="AO46" s="1">
        <v>2052684</v>
      </c>
      <c r="AP46" s="1">
        <v>40350049.200000003</v>
      </c>
      <c r="AQ46" s="1">
        <v>5.0871908230535598E-2</v>
      </c>
      <c r="AR46" s="1"/>
      <c r="AS46" s="22">
        <v>3303</v>
      </c>
      <c r="AT46" s="1" t="s">
        <v>44</v>
      </c>
      <c r="AU46" s="1">
        <v>2014</v>
      </c>
      <c r="AV46" s="1" t="s">
        <v>29</v>
      </c>
      <c r="AW46" s="1">
        <v>332229.40000000002</v>
      </c>
      <c r="AX46" s="1">
        <v>6735816.8000000007</v>
      </c>
      <c r="AY46" s="1">
        <v>4.9322808185638299E-2</v>
      </c>
      <c r="AZ46" s="1"/>
      <c r="BA46" s="22">
        <v>4499</v>
      </c>
      <c r="BB46" s="1" t="s">
        <v>38</v>
      </c>
      <c r="BC46" s="1">
        <v>2014</v>
      </c>
      <c r="BD46" s="1" t="s">
        <v>29</v>
      </c>
      <c r="BE46" s="1">
        <v>415832.2</v>
      </c>
      <c r="BF46" s="1">
        <v>6538596.7000000002</v>
      </c>
      <c r="BG46" s="1">
        <v>6.3596551229409798E-2</v>
      </c>
      <c r="BH46" s="1"/>
      <c r="BI46" s="22">
        <v>5695</v>
      </c>
      <c r="BJ46" s="1" t="s">
        <v>31</v>
      </c>
      <c r="BK46" s="1">
        <v>2014</v>
      </c>
      <c r="BL46" s="1" t="s">
        <v>29</v>
      </c>
      <c r="BM46" s="1">
        <v>401533.9</v>
      </c>
      <c r="BN46" s="1">
        <v>9155477.5</v>
      </c>
      <c r="BO46" s="1">
        <v>4.3857231913900702E-2</v>
      </c>
      <c r="BP46" s="1"/>
      <c r="BQ46" s="22">
        <v>6891</v>
      </c>
      <c r="BR46" s="1" t="s">
        <v>51</v>
      </c>
      <c r="BS46" s="1">
        <v>2014</v>
      </c>
      <c r="BT46" s="1" t="s">
        <v>29</v>
      </c>
      <c r="BU46" s="1">
        <v>208472.5</v>
      </c>
      <c r="BV46" s="1">
        <v>4981875.5</v>
      </c>
      <c r="BW46" s="1">
        <v>4.1846188247779303E-2</v>
      </c>
      <c r="BX46" s="1"/>
      <c r="BY46" s="22">
        <v>8087</v>
      </c>
      <c r="BZ46" s="1" t="s">
        <v>57</v>
      </c>
      <c r="CA46" s="1">
        <v>2014</v>
      </c>
      <c r="CB46" s="1" t="s">
        <v>29</v>
      </c>
      <c r="CC46" s="1">
        <v>337861.6</v>
      </c>
      <c r="CD46" s="1">
        <v>11026913.800000001</v>
      </c>
      <c r="CE46" s="1">
        <v>3.06397244168173E-2</v>
      </c>
      <c r="CF46" s="1"/>
      <c r="CG46" s="22">
        <v>957</v>
      </c>
      <c r="CH46" s="1" t="s">
        <v>17</v>
      </c>
      <c r="CI46" s="1">
        <v>2015</v>
      </c>
      <c r="CJ46" s="1" t="s">
        <v>29</v>
      </c>
      <c r="CK46" s="1">
        <v>102293.4</v>
      </c>
      <c r="CL46" s="1">
        <v>3555133.8</v>
      </c>
      <c r="CM46" s="1">
        <v>2.8773431818515501E-2</v>
      </c>
      <c r="CN46" s="1"/>
      <c r="CO46" s="22">
        <v>2153</v>
      </c>
      <c r="CP46" s="1" t="s">
        <v>61</v>
      </c>
      <c r="CQ46" s="1">
        <v>2015</v>
      </c>
      <c r="CR46" s="1" t="s">
        <v>29</v>
      </c>
      <c r="CS46" s="1">
        <v>2156334.4</v>
      </c>
      <c r="CT46" s="1">
        <v>41208556.399999999</v>
      </c>
      <c r="CU46" s="1">
        <v>5.2327346269281101E-2</v>
      </c>
      <c r="CV46" s="1"/>
      <c r="CW46" s="22">
        <v>3349</v>
      </c>
      <c r="CX46" s="1" t="s">
        <v>44</v>
      </c>
      <c r="CY46" s="1">
        <v>2015</v>
      </c>
      <c r="CZ46" s="1" t="s">
        <v>29</v>
      </c>
      <c r="DA46" s="1">
        <v>330974.2</v>
      </c>
      <c r="DB46" s="1">
        <v>6404349.4000000004</v>
      </c>
      <c r="DC46" s="1">
        <v>5.1679597618455898E-2</v>
      </c>
      <c r="DD46" s="1"/>
      <c r="DE46" s="22">
        <v>4545</v>
      </c>
      <c r="DF46" s="1" t="s">
        <v>38</v>
      </c>
      <c r="DG46" s="1">
        <v>2015</v>
      </c>
      <c r="DH46" s="1" t="s">
        <v>29</v>
      </c>
      <c r="DI46" s="1">
        <v>359407.9</v>
      </c>
      <c r="DJ46" s="1">
        <v>5531517.5999999996</v>
      </c>
      <c r="DK46" s="1">
        <v>6.4974555988034796E-2</v>
      </c>
      <c r="DL46" s="1"/>
      <c r="DM46" s="22">
        <v>5741</v>
      </c>
      <c r="DN46" s="1" t="s">
        <v>31</v>
      </c>
      <c r="DO46" s="1">
        <v>2015</v>
      </c>
      <c r="DP46" s="1" t="s">
        <v>29</v>
      </c>
      <c r="DQ46" s="1">
        <v>358434.4</v>
      </c>
      <c r="DR46" s="1">
        <v>7894528</v>
      </c>
      <c r="DS46" s="1">
        <v>4.54028917244957E-2</v>
      </c>
      <c r="DT46" s="1"/>
      <c r="DU46" s="22">
        <v>6937</v>
      </c>
      <c r="DV46" s="1" t="s">
        <v>51</v>
      </c>
      <c r="DW46" s="1">
        <v>2015</v>
      </c>
      <c r="DX46" s="1" t="s">
        <v>29</v>
      </c>
      <c r="DY46" s="1">
        <v>180918.9</v>
      </c>
      <c r="DZ46" s="1">
        <v>4209274.5999999996</v>
      </c>
      <c r="EA46" s="1">
        <v>4.2981016253964499E-2</v>
      </c>
      <c r="EB46" s="1"/>
      <c r="EC46" s="22">
        <v>8133</v>
      </c>
      <c r="ED46" s="1" t="s">
        <v>57</v>
      </c>
      <c r="EE46" s="1">
        <v>2015</v>
      </c>
      <c r="EF46" s="1" t="s">
        <v>29</v>
      </c>
      <c r="EG46" s="1">
        <v>306096.3</v>
      </c>
      <c r="EH46" s="1">
        <v>9729477.0999999996</v>
      </c>
      <c r="EI46" s="1">
        <v>3.1460714368709397E-2</v>
      </c>
      <c r="EJ46" s="1"/>
      <c r="EK46" s="22">
        <v>1003</v>
      </c>
      <c r="EL46" s="1" t="s">
        <v>17</v>
      </c>
      <c r="EM46" s="1">
        <v>2016</v>
      </c>
      <c r="EN46" s="1" t="s">
        <v>29</v>
      </c>
      <c r="EO46" s="1">
        <v>100331.9</v>
      </c>
      <c r="EP46" s="1">
        <v>3463407</v>
      </c>
      <c r="EQ46" s="1">
        <v>2.89691335728085E-2</v>
      </c>
      <c r="ER46" s="1"/>
      <c r="ES46" s="22">
        <v>2199</v>
      </c>
      <c r="ET46" s="1" t="s">
        <v>61</v>
      </c>
      <c r="EU46" s="1">
        <v>2016</v>
      </c>
      <c r="EV46" s="1" t="s">
        <v>29</v>
      </c>
      <c r="EW46" s="1">
        <v>2219221</v>
      </c>
      <c r="EX46" s="1">
        <v>42141395.200000003</v>
      </c>
      <c r="EY46" s="1">
        <v>5.26613081856388E-2</v>
      </c>
      <c r="EZ46" s="1"/>
      <c r="FA46" s="22">
        <v>3395</v>
      </c>
      <c r="FB46" s="1" t="s">
        <v>44</v>
      </c>
      <c r="FC46" s="1">
        <v>2016</v>
      </c>
      <c r="FD46" s="1" t="s">
        <v>29</v>
      </c>
      <c r="FE46" s="1">
        <v>304208.8</v>
      </c>
      <c r="FF46" s="1">
        <v>5868597.7999999998</v>
      </c>
      <c r="FG46" s="1">
        <v>5.1836709614006903E-2</v>
      </c>
      <c r="FH46" s="1"/>
      <c r="FI46" s="22">
        <v>4591</v>
      </c>
      <c r="FJ46" s="1" t="s">
        <v>38</v>
      </c>
      <c r="FK46" s="1">
        <v>2016</v>
      </c>
      <c r="FL46" s="1" t="s">
        <v>29</v>
      </c>
      <c r="FM46" s="1">
        <v>368294</v>
      </c>
      <c r="FN46" s="1">
        <v>5582986.5</v>
      </c>
      <c r="FO46" s="1">
        <v>6.5967202320836693E-2</v>
      </c>
      <c r="FP46" s="1"/>
      <c r="FQ46" s="22">
        <v>5787</v>
      </c>
      <c r="FR46" s="1" t="s">
        <v>31</v>
      </c>
      <c r="FS46" s="1">
        <v>2016</v>
      </c>
      <c r="FT46" s="1" t="s">
        <v>29</v>
      </c>
      <c r="FU46" s="1">
        <v>376218.6</v>
      </c>
      <c r="FV46" s="1">
        <v>8130820.9000000004</v>
      </c>
      <c r="FW46" s="1">
        <v>4.6270678523985101E-2</v>
      </c>
      <c r="FX46" s="1"/>
      <c r="FY46" s="22">
        <v>6983</v>
      </c>
      <c r="FZ46" s="1" t="s">
        <v>51</v>
      </c>
      <c r="GA46" s="1">
        <v>2016</v>
      </c>
      <c r="GB46" s="1" t="s">
        <v>29</v>
      </c>
      <c r="GC46" s="1">
        <v>183374.4</v>
      </c>
      <c r="GD46" s="1">
        <v>4230502.5999999996</v>
      </c>
      <c r="GE46" s="1">
        <v>4.3345771729344798E-2</v>
      </c>
      <c r="GF46" s="1"/>
      <c r="GG46" s="22">
        <v>8179</v>
      </c>
      <c r="GH46" s="1" t="s">
        <v>57</v>
      </c>
      <c r="GI46" s="1">
        <v>2016</v>
      </c>
      <c r="GJ46" s="1" t="s">
        <v>29</v>
      </c>
      <c r="GK46" s="1">
        <v>347557.7</v>
      </c>
      <c r="GL46" s="1">
        <v>10773649.5</v>
      </c>
      <c r="GM46" s="1">
        <v>3.2259978385225901E-2</v>
      </c>
      <c r="GN46" s="1"/>
      <c r="GO46" s="22">
        <v>1049</v>
      </c>
      <c r="GP46" s="1" t="s">
        <v>17</v>
      </c>
      <c r="GQ46" s="1">
        <v>2017</v>
      </c>
      <c r="GR46" s="1" t="s">
        <v>29</v>
      </c>
      <c r="GS46" s="1">
        <v>108251.5</v>
      </c>
      <c r="GT46" s="1">
        <v>3719735.5</v>
      </c>
      <c r="GU46" s="1">
        <v>2.9101934801546998E-2</v>
      </c>
      <c r="GV46" s="1"/>
      <c r="GW46" s="22">
        <v>2245</v>
      </c>
      <c r="GX46" s="1" t="s">
        <v>61</v>
      </c>
      <c r="GY46" s="1">
        <v>2017</v>
      </c>
      <c r="GZ46" s="1" t="s">
        <v>29</v>
      </c>
      <c r="HA46" s="1">
        <v>2349418.7999999998</v>
      </c>
      <c r="HB46" s="1">
        <v>44107004.100000001</v>
      </c>
      <c r="HC46" s="1">
        <v>5.3266342793842097E-2</v>
      </c>
      <c r="HD46" s="1"/>
      <c r="HE46" s="22">
        <v>3441</v>
      </c>
      <c r="HF46" s="1" t="s">
        <v>44</v>
      </c>
      <c r="HG46" s="1">
        <v>2017</v>
      </c>
      <c r="HH46" s="1" t="s">
        <v>29</v>
      </c>
      <c r="HI46" s="1">
        <v>315610.09999999998</v>
      </c>
      <c r="HJ46" s="1">
        <v>5855367.5</v>
      </c>
      <c r="HK46" s="1">
        <v>5.3900989135182299E-2</v>
      </c>
      <c r="HL46" s="1"/>
      <c r="HM46" s="22">
        <v>4637</v>
      </c>
      <c r="HN46" s="1" t="s">
        <v>38</v>
      </c>
      <c r="HO46" s="1">
        <v>2017</v>
      </c>
      <c r="HP46" s="1" t="s">
        <v>29</v>
      </c>
      <c r="HQ46" s="1">
        <v>393976.3</v>
      </c>
      <c r="HR46" s="1">
        <v>5923445.7000000002</v>
      </c>
      <c r="HS46" s="1">
        <v>6.6511338155762906E-2</v>
      </c>
      <c r="HT46" s="1"/>
      <c r="HU46" s="22">
        <v>5833</v>
      </c>
      <c r="HV46" s="1" t="s">
        <v>31</v>
      </c>
      <c r="HW46" s="1">
        <v>2017</v>
      </c>
      <c r="HX46" s="1" t="s">
        <v>29</v>
      </c>
      <c r="HY46" s="1">
        <v>398003.3</v>
      </c>
      <c r="HZ46" s="1">
        <v>8686095.3000000007</v>
      </c>
      <c r="IA46" s="1">
        <v>4.58207383471834E-2</v>
      </c>
      <c r="IB46" s="1"/>
      <c r="IC46" s="22">
        <v>7029</v>
      </c>
      <c r="ID46" s="1" t="s">
        <v>51</v>
      </c>
      <c r="IE46" s="1">
        <v>2017</v>
      </c>
      <c r="IF46" s="1" t="s">
        <v>29</v>
      </c>
      <c r="IG46" s="1">
        <v>192210.7</v>
      </c>
      <c r="IH46" s="1">
        <v>4472691.8</v>
      </c>
      <c r="II46" s="1">
        <v>4.29742778163252E-2</v>
      </c>
      <c r="IJ46" s="1"/>
      <c r="IK46" s="22">
        <v>8225</v>
      </c>
      <c r="IL46" s="1" t="s">
        <v>57</v>
      </c>
      <c r="IM46" s="1">
        <v>2017</v>
      </c>
      <c r="IN46" s="1" t="s">
        <v>29</v>
      </c>
      <c r="IO46" s="1">
        <v>340988.3</v>
      </c>
      <c r="IP46" s="1">
        <v>10750260.5</v>
      </c>
      <c r="IQ46" s="1">
        <v>3.1719073226179E-2</v>
      </c>
      <c r="IR46" s="1"/>
      <c r="IS46" s="22">
        <v>1095</v>
      </c>
      <c r="IT46" s="1" t="s">
        <v>17</v>
      </c>
      <c r="IU46" s="1">
        <v>2018</v>
      </c>
      <c r="IV46" s="1" t="s">
        <v>29</v>
      </c>
      <c r="IW46" s="1">
        <v>111943.4</v>
      </c>
      <c r="IX46" s="1">
        <v>3904165.4</v>
      </c>
      <c r="IY46" s="1">
        <v>2.86728118639645E-2</v>
      </c>
      <c r="IZ46" s="1"/>
      <c r="JA46" s="22">
        <v>2291</v>
      </c>
      <c r="JB46" s="1" t="s">
        <v>61</v>
      </c>
      <c r="JC46" s="1">
        <v>2018</v>
      </c>
      <c r="JD46" s="1" t="s">
        <v>29</v>
      </c>
      <c r="JE46" s="1">
        <v>2471276.1</v>
      </c>
      <c r="JF46" s="1">
        <v>46669099.200000003</v>
      </c>
      <c r="JG46" s="1">
        <v>5.2953156207480402E-2</v>
      </c>
      <c r="JH46" s="1"/>
      <c r="JI46" s="22">
        <v>3487</v>
      </c>
      <c r="JJ46" s="1" t="s">
        <v>44</v>
      </c>
      <c r="JK46" s="1">
        <v>2018</v>
      </c>
      <c r="JL46" s="1" t="s">
        <v>29</v>
      </c>
      <c r="JM46" s="1">
        <v>343004.4</v>
      </c>
      <c r="JN46" s="1">
        <v>6336724.7000000002</v>
      </c>
      <c r="JO46" s="1">
        <v>5.4129604210200202E-2</v>
      </c>
      <c r="JP46" s="1"/>
      <c r="JQ46" s="22">
        <v>4683</v>
      </c>
      <c r="JR46" s="1" t="s">
        <v>38</v>
      </c>
      <c r="JS46" s="1">
        <v>2018</v>
      </c>
      <c r="JT46" s="1" t="s">
        <v>29</v>
      </c>
      <c r="JU46" s="1">
        <v>425005</v>
      </c>
      <c r="JV46" s="1">
        <v>6390706</v>
      </c>
      <c r="JW46" s="1">
        <v>6.6503606956727399E-2</v>
      </c>
      <c r="JX46" s="1"/>
      <c r="JY46" s="22">
        <v>5879</v>
      </c>
      <c r="JZ46" s="1" t="s">
        <v>31</v>
      </c>
      <c r="KA46" s="1">
        <v>2018</v>
      </c>
      <c r="KB46" s="1" t="s">
        <v>29</v>
      </c>
      <c r="KC46" s="1">
        <v>429725.7</v>
      </c>
      <c r="KD46" s="1">
        <v>9443218.3000000007</v>
      </c>
      <c r="KE46" s="1">
        <v>4.5506276181288698E-2</v>
      </c>
      <c r="KF46" s="1"/>
      <c r="KG46" s="22">
        <v>7075</v>
      </c>
      <c r="KH46" s="1" t="s">
        <v>51</v>
      </c>
      <c r="KI46" s="1">
        <v>2018</v>
      </c>
      <c r="KJ46" s="1" t="s">
        <v>29</v>
      </c>
      <c r="KK46" s="1">
        <v>209887.9</v>
      </c>
      <c r="KL46" s="1">
        <v>4803387.8</v>
      </c>
      <c r="KM46" s="1">
        <v>4.36958056978035E-2</v>
      </c>
      <c r="KN46" s="1"/>
      <c r="KO46" s="22">
        <v>8271</v>
      </c>
      <c r="KP46" s="1" t="s">
        <v>57</v>
      </c>
      <c r="KQ46" s="1">
        <v>2018</v>
      </c>
      <c r="KR46" s="1" t="s">
        <v>29</v>
      </c>
      <c r="KS46" s="1">
        <v>351804.2</v>
      </c>
      <c r="KT46" s="1">
        <v>11172914.4</v>
      </c>
      <c r="KU46" s="1">
        <v>3.1487236669422602E-2</v>
      </c>
      <c r="KV46" s="1"/>
      <c r="KW46" s="22">
        <v>1141</v>
      </c>
      <c r="KX46" s="1" t="s">
        <v>17</v>
      </c>
      <c r="KY46" s="1">
        <v>2019</v>
      </c>
      <c r="KZ46" s="1" t="s">
        <v>29</v>
      </c>
      <c r="LA46" s="1">
        <v>114132.2</v>
      </c>
      <c r="LB46" s="1">
        <v>3955328</v>
      </c>
      <c r="LC46" s="1">
        <v>2.88553060580563E-2</v>
      </c>
      <c r="LD46" s="1"/>
      <c r="LE46" s="22">
        <v>2337</v>
      </c>
      <c r="LF46" s="1" t="s">
        <v>61</v>
      </c>
      <c r="LG46" s="1">
        <v>2019</v>
      </c>
      <c r="LH46" s="1" t="s">
        <v>29</v>
      </c>
      <c r="LI46" s="1">
        <v>2638301.7000000002</v>
      </c>
      <c r="LJ46" s="1">
        <v>48356774.5</v>
      </c>
      <c r="LK46" s="1">
        <v>5.4559091818665403E-2</v>
      </c>
      <c r="LL46" s="1"/>
      <c r="LM46" s="22">
        <v>3533</v>
      </c>
      <c r="LN46" s="1" t="s">
        <v>44</v>
      </c>
      <c r="LO46" s="1">
        <v>2019</v>
      </c>
      <c r="LP46" s="1" t="s">
        <v>29</v>
      </c>
      <c r="LQ46" s="1">
        <v>340273.6</v>
      </c>
      <c r="LR46" s="1">
        <v>6269787.0999999996</v>
      </c>
      <c r="LS46" s="1">
        <v>5.4271954465567103E-2</v>
      </c>
      <c r="LT46" s="1"/>
      <c r="LU46" s="22">
        <v>4729</v>
      </c>
      <c r="LV46" s="1" t="s">
        <v>38</v>
      </c>
      <c r="LW46" s="1">
        <v>2019</v>
      </c>
      <c r="LX46" s="1" t="s">
        <v>29</v>
      </c>
      <c r="LY46" s="1">
        <v>421498.5</v>
      </c>
      <c r="LZ46" s="1">
        <v>6182094.5</v>
      </c>
      <c r="MA46" s="1">
        <v>6.8180533312779304E-2</v>
      </c>
      <c r="MB46" s="1"/>
      <c r="MC46" s="22">
        <v>5925</v>
      </c>
      <c r="MD46" s="1" t="s">
        <v>31</v>
      </c>
      <c r="ME46" s="1">
        <v>2019</v>
      </c>
      <c r="MF46" s="1" t="s">
        <v>29</v>
      </c>
      <c r="MG46" s="1">
        <v>425137.1</v>
      </c>
      <c r="MH46" s="1">
        <v>9237079</v>
      </c>
      <c r="MI46" s="1">
        <v>4.6025058354486302E-2</v>
      </c>
      <c r="MJ46" s="1"/>
      <c r="MK46" s="22">
        <v>7121</v>
      </c>
      <c r="ML46" s="1" t="s">
        <v>51</v>
      </c>
      <c r="MM46" s="1">
        <v>2019</v>
      </c>
      <c r="MN46" s="1" t="s">
        <v>29</v>
      </c>
      <c r="MO46" s="1">
        <v>202713</v>
      </c>
      <c r="MP46" s="1">
        <v>4608662</v>
      </c>
      <c r="MQ46" s="1">
        <v>4.3985217401493103E-2</v>
      </c>
      <c r="MR46" s="1"/>
      <c r="MS46" s="22">
        <v>8317</v>
      </c>
      <c r="MT46" s="1" t="s">
        <v>57</v>
      </c>
      <c r="MU46" s="1">
        <v>2019</v>
      </c>
      <c r="MV46" s="1" t="s">
        <v>29</v>
      </c>
      <c r="MW46" s="1">
        <v>364219.2</v>
      </c>
      <c r="MX46" s="1">
        <v>11338077</v>
      </c>
      <c r="MY46" s="1">
        <v>3.2123542643077797E-2</v>
      </c>
      <c r="MZ46" s="1"/>
      <c r="NA46" s="22">
        <v>1187</v>
      </c>
      <c r="NB46" s="1" t="s">
        <v>17</v>
      </c>
      <c r="NC46" s="1">
        <v>2020</v>
      </c>
      <c r="ND46" s="1" t="s">
        <v>29</v>
      </c>
      <c r="NE46" s="1">
        <v>112492.1</v>
      </c>
      <c r="NF46" s="1">
        <v>3784752.3</v>
      </c>
      <c r="NG46" s="1">
        <v>2.9722447093829599E-2</v>
      </c>
      <c r="NH46" s="1"/>
      <c r="NI46" s="22">
        <v>2383</v>
      </c>
      <c r="NJ46" s="1" t="s">
        <v>61</v>
      </c>
      <c r="NK46" s="1">
        <v>2020</v>
      </c>
      <c r="NL46" s="1" t="s">
        <v>29</v>
      </c>
      <c r="NM46" s="1">
        <v>2685893.5</v>
      </c>
      <c r="NN46" s="1">
        <v>47421769.399999999</v>
      </c>
      <c r="NO46" s="1">
        <v>5.6638407507417797E-2</v>
      </c>
      <c r="NP46" s="1"/>
      <c r="NQ46" s="22">
        <v>3579</v>
      </c>
      <c r="NR46" s="1" t="s">
        <v>44</v>
      </c>
      <c r="NS46" s="1">
        <v>2020</v>
      </c>
      <c r="NT46" s="1" t="s">
        <v>29</v>
      </c>
      <c r="NU46" s="1">
        <v>334820.40000000002</v>
      </c>
      <c r="NV46" s="1">
        <v>5955345.3666666672</v>
      </c>
      <c r="NW46" s="1">
        <v>5.62218275155058E-2</v>
      </c>
      <c r="NX46" s="1"/>
      <c r="NY46" s="22">
        <v>4775</v>
      </c>
      <c r="NZ46" s="1" t="s">
        <v>38</v>
      </c>
      <c r="OA46" s="1">
        <v>2020</v>
      </c>
      <c r="OB46" s="1" t="s">
        <v>29</v>
      </c>
      <c r="OC46" s="1">
        <v>424033.8</v>
      </c>
      <c r="OD46" s="1">
        <v>5990228.4000000004</v>
      </c>
      <c r="OE46" s="1">
        <v>7.0787584660377795E-2</v>
      </c>
      <c r="OF46" s="1"/>
      <c r="OG46" s="22">
        <v>5971</v>
      </c>
      <c r="OH46" s="1" t="s">
        <v>31</v>
      </c>
      <c r="OI46" s="1">
        <v>2020</v>
      </c>
      <c r="OJ46" s="1" t="s">
        <v>29</v>
      </c>
      <c r="OK46" s="1">
        <v>439045.3</v>
      </c>
      <c r="OL46" s="1">
        <v>9257180.0999999996</v>
      </c>
      <c r="OM46" s="1">
        <v>4.7427542216662698E-2</v>
      </c>
      <c r="ON46" s="1"/>
      <c r="OO46" s="22">
        <v>7167</v>
      </c>
      <c r="OP46" s="1" t="s">
        <v>51</v>
      </c>
      <c r="OQ46" s="1">
        <v>2020</v>
      </c>
      <c r="OR46" s="1" t="s">
        <v>29</v>
      </c>
      <c r="OS46" s="1">
        <v>204934.6</v>
      </c>
      <c r="OT46" s="1">
        <v>4352046.4000000004</v>
      </c>
      <c r="OU46" s="1">
        <v>4.7089249783733897E-2</v>
      </c>
      <c r="OV46" s="1"/>
      <c r="OW46" s="22">
        <v>8363</v>
      </c>
      <c r="OX46" s="1" t="s">
        <v>57</v>
      </c>
      <c r="OY46" s="1">
        <v>2020</v>
      </c>
      <c r="OZ46" s="1" t="s">
        <v>29</v>
      </c>
      <c r="PA46" s="1">
        <v>363488.6</v>
      </c>
      <c r="PB46" s="1">
        <v>11082248.733333331</v>
      </c>
      <c r="PC46" s="1">
        <v>3.2799173592512297E-2</v>
      </c>
      <c r="PD46" s="1"/>
      <c r="PE46" s="22">
        <v>8409</v>
      </c>
      <c r="PF46" s="1" t="s">
        <v>17</v>
      </c>
      <c r="PG46" s="1">
        <v>2021</v>
      </c>
      <c r="PH46" s="1" t="s">
        <v>29</v>
      </c>
      <c r="PI46" s="1">
        <v>137406.8498731638</v>
      </c>
      <c r="PJ46" s="1">
        <v>4622999.2247741111</v>
      </c>
      <c r="PK46" s="1">
        <v>2.9722447093829599E-2</v>
      </c>
      <c r="PL46" s="1"/>
      <c r="PM46" s="22">
        <v>9329</v>
      </c>
      <c r="PN46" s="1" t="s">
        <v>61</v>
      </c>
      <c r="PO46" s="1">
        <v>2021</v>
      </c>
      <c r="PP46" s="1" t="s">
        <v>29</v>
      </c>
      <c r="PQ46" s="1">
        <v>2978593.3920043409</v>
      </c>
      <c r="PR46" s="1">
        <v>52589638.782026872</v>
      </c>
      <c r="PS46" s="1">
        <v>5.6638407507417797E-2</v>
      </c>
      <c r="PT46" s="1"/>
      <c r="PU46" s="22">
        <v>10249</v>
      </c>
      <c r="PV46" s="1" t="s">
        <v>44</v>
      </c>
      <c r="PW46" s="1">
        <v>2021</v>
      </c>
      <c r="PX46" s="1" t="s">
        <v>29</v>
      </c>
      <c r="PY46" s="1">
        <v>390260.8517298408</v>
      </c>
      <c r="PZ46" s="1">
        <v>6941447.2808129201</v>
      </c>
      <c r="QA46" s="1">
        <v>5.62218275155058E-2</v>
      </c>
      <c r="QB46" s="1"/>
      <c r="QC46" s="22">
        <v>11169</v>
      </c>
      <c r="QD46" s="1" t="s">
        <v>38</v>
      </c>
      <c r="QE46" s="1">
        <v>2021</v>
      </c>
      <c r="QF46" s="1" t="s">
        <v>29</v>
      </c>
      <c r="QG46" s="1">
        <v>475037.70316209202</v>
      </c>
      <c r="QH46" s="1">
        <v>6710748.8614170318</v>
      </c>
      <c r="QI46" s="1">
        <v>7.0787584660377795E-2</v>
      </c>
      <c r="QJ46" s="1"/>
      <c r="QK46" s="22">
        <v>12089</v>
      </c>
      <c r="QL46" s="1" t="s">
        <v>31</v>
      </c>
      <c r="QM46" s="1">
        <v>2021</v>
      </c>
      <c r="QN46" s="1" t="s">
        <v>29</v>
      </c>
      <c r="QO46" s="1">
        <v>484526.10262325691</v>
      </c>
      <c r="QP46" s="1">
        <v>10216133.49495957</v>
      </c>
      <c r="QQ46" s="1">
        <v>4.7427542216662698E-2</v>
      </c>
      <c r="QR46" s="1"/>
      <c r="QS46" s="22">
        <v>13009</v>
      </c>
      <c r="QT46" s="1" t="s">
        <v>51</v>
      </c>
      <c r="QU46" s="1">
        <v>2021</v>
      </c>
      <c r="QV46" s="1" t="s">
        <v>29</v>
      </c>
      <c r="QW46" s="1">
        <v>234128.55163147181</v>
      </c>
      <c r="QX46" s="1">
        <v>4972017.0252605537</v>
      </c>
      <c r="QY46" s="1">
        <v>4.7089249783733897E-2</v>
      </c>
      <c r="QZ46" s="1"/>
      <c r="RA46" s="22">
        <v>13929</v>
      </c>
      <c r="RB46" s="1" t="s">
        <v>57</v>
      </c>
      <c r="RC46" s="1">
        <v>2021</v>
      </c>
      <c r="RD46" s="1" t="s">
        <v>29</v>
      </c>
      <c r="RE46" s="1">
        <v>362415.55393771711</v>
      </c>
      <c r="RF46" s="1">
        <v>11049533.09007922</v>
      </c>
      <c r="RG46" s="1">
        <v>3.2799173592512297E-2</v>
      </c>
      <c r="RH46" s="1"/>
      <c r="RI46" s="22">
        <v>8455</v>
      </c>
      <c r="RJ46" s="1" t="s">
        <v>17</v>
      </c>
      <c r="RK46" s="1">
        <v>2022</v>
      </c>
      <c r="RL46" s="1" t="s">
        <v>29</v>
      </c>
      <c r="RM46" s="1">
        <v>148823.33588676539</v>
      </c>
      <c r="RN46" s="1">
        <v>5007102.3902221443</v>
      </c>
      <c r="RO46" s="1">
        <v>2.9722447093829599E-2</v>
      </c>
      <c r="RP46" s="1"/>
      <c r="RQ46" s="22">
        <v>9375</v>
      </c>
      <c r="RR46" s="1" t="s">
        <v>61</v>
      </c>
      <c r="RS46" s="1">
        <v>2022</v>
      </c>
      <c r="RT46" s="1" t="s">
        <v>29</v>
      </c>
      <c r="RU46" s="1">
        <v>3271117.193660697</v>
      </c>
      <c r="RV46" s="1">
        <v>57754399.13688051</v>
      </c>
      <c r="RW46" s="1">
        <v>5.6638407507417797E-2</v>
      </c>
      <c r="RX46" s="1"/>
      <c r="RY46" s="22">
        <v>10295</v>
      </c>
      <c r="RZ46" s="1" t="s">
        <v>44</v>
      </c>
      <c r="SA46" s="1">
        <v>2022</v>
      </c>
      <c r="SB46" s="1" t="s">
        <v>29</v>
      </c>
      <c r="SC46" s="1">
        <v>386625.57509919233</v>
      </c>
      <c r="SD46" s="1">
        <v>6876787.7563667288</v>
      </c>
      <c r="SE46" s="1">
        <v>5.62218275155058E-2</v>
      </c>
      <c r="SF46" s="1"/>
      <c r="SG46" s="22">
        <v>11215</v>
      </c>
      <c r="SH46" s="1" t="s">
        <v>38</v>
      </c>
      <c r="SI46" s="1">
        <v>2022</v>
      </c>
      <c r="SJ46" s="1" t="s">
        <v>29</v>
      </c>
      <c r="SK46" s="1">
        <v>447793.45184351498</v>
      </c>
      <c r="SL46" s="1">
        <v>6325875.5612572851</v>
      </c>
      <c r="SM46" s="1">
        <v>7.0787584660377795E-2</v>
      </c>
      <c r="SN46" s="1"/>
      <c r="SO46" s="22">
        <v>12135</v>
      </c>
      <c r="SP46" s="1" t="s">
        <v>31</v>
      </c>
      <c r="SQ46" s="1">
        <v>2022</v>
      </c>
      <c r="SR46" s="1" t="s">
        <v>29</v>
      </c>
      <c r="SS46" s="1">
        <v>463945.19257691328</v>
      </c>
      <c r="ST46" s="1">
        <v>9782189.227885304</v>
      </c>
      <c r="SU46" s="1">
        <v>4.7427542216662698E-2</v>
      </c>
      <c r="SV46" s="1"/>
      <c r="SW46" s="22">
        <v>13055</v>
      </c>
      <c r="SX46" s="1" t="s">
        <v>51</v>
      </c>
      <c r="SY46" s="1">
        <v>2022</v>
      </c>
      <c r="SZ46" s="1" t="s">
        <v>29</v>
      </c>
      <c r="TA46" s="1">
        <v>226055.70900979289</v>
      </c>
      <c r="TB46" s="1">
        <v>4800579.963537232</v>
      </c>
      <c r="TC46" s="1">
        <v>4.7089249783733897E-2</v>
      </c>
      <c r="TD46" s="1"/>
      <c r="TE46" s="22">
        <v>13975</v>
      </c>
      <c r="TF46" s="1" t="s">
        <v>57</v>
      </c>
      <c r="TG46" s="1">
        <v>2022</v>
      </c>
      <c r="TH46" s="1" t="s">
        <v>29</v>
      </c>
      <c r="TI46" s="1">
        <v>306556.02671826829</v>
      </c>
      <c r="TJ46" s="1">
        <v>9346455.8140041605</v>
      </c>
      <c r="TK46" s="1">
        <v>3.2799173592512297E-2</v>
      </c>
      <c r="TL46" s="1"/>
      <c r="TM46" s="22">
        <v>8501</v>
      </c>
      <c r="TN46" s="1" t="s">
        <v>17</v>
      </c>
      <c r="TO46" s="1">
        <v>2023</v>
      </c>
      <c r="TP46" s="1" t="s">
        <v>29</v>
      </c>
      <c r="TQ46" s="1">
        <v>147663.54646670839</v>
      </c>
      <c r="TR46" s="1">
        <v>4968081.7329930915</v>
      </c>
      <c r="TS46" s="1">
        <v>2.9722447093829599E-2</v>
      </c>
      <c r="TT46" s="1"/>
      <c r="TU46" s="22">
        <v>9421</v>
      </c>
      <c r="TV46" s="1" t="s">
        <v>61</v>
      </c>
      <c r="TW46" s="1">
        <v>2023</v>
      </c>
      <c r="TX46" s="1" t="s">
        <v>29</v>
      </c>
      <c r="TY46" s="1">
        <v>3486676.935363695</v>
      </c>
      <c r="TZ46" s="1">
        <v>61560292.543660469</v>
      </c>
      <c r="UA46" s="1">
        <v>5.6638407507417797E-2</v>
      </c>
      <c r="UB46" s="1"/>
      <c r="UC46" s="22">
        <v>10341</v>
      </c>
      <c r="UD46" s="1" t="s">
        <v>44</v>
      </c>
      <c r="UE46" s="1">
        <v>2023</v>
      </c>
      <c r="UF46" s="1" t="s">
        <v>29</v>
      </c>
      <c r="UG46" s="1">
        <v>418387.06648076588</v>
      </c>
      <c r="UH46" s="1">
        <v>7441719.4347760417</v>
      </c>
      <c r="UI46" s="1">
        <v>5.62218275155058E-2</v>
      </c>
      <c r="UJ46" s="1"/>
      <c r="UK46" s="22">
        <v>11261</v>
      </c>
      <c r="UL46" s="1" t="s">
        <v>38</v>
      </c>
      <c r="UM46" s="1">
        <v>2023</v>
      </c>
      <c r="UN46" s="1" t="s">
        <v>29</v>
      </c>
      <c r="UO46" s="1">
        <v>488713.4749989608</v>
      </c>
      <c r="UP46" s="1">
        <v>6903943.3587640161</v>
      </c>
      <c r="UQ46" s="1">
        <v>7.0787584660377795E-2</v>
      </c>
      <c r="UR46" s="1"/>
      <c r="US46" s="22">
        <v>12181</v>
      </c>
      <c r="UT46" s="1" t="s">
        <v>31</v>
      </c>
      <c r="UU46" s="1">
        <v>2023</v>
      </c>
      <c r="UV46" s="1" t="s">
        <v>29</v>
      </c>
      <c r="UW46" s="1">
        <v>504293.58200723812</v>
      </c>
      <c r="UX46" s="1">
        <v>10632926.743356841</v>
      </c>
      <c r="UY46" s="1">
        <v>4.7427542216662698E-2</v>
      </c>
      <c r="UZ46" s="1"/>
      <c r="VA46" s="22">
        <v>13101</v>
      </c>
      <c r="VB46" s="1" t="s">
        <v>51</v>
      </c>
      <c r="VC46" s="1">
        <v>2023</v>
      </c>
      <c r="VD46" s="1" t="s">
        <v>29</v>
      </c>
      <c r="VE46" s="1">
        <v>247601.19555958631</v>
      </c>
      <c r="VF46" s="1">
        <v>5258125.7228930313</v>
      </c>
      <c r="VG46" s="1">
        <v>4.7089249783733897E-2</v>
      </c>
      <c r="VH46" s="1"/>
      <c r="VI46" s="22">
        <v>14021</v>
      </c>
      <c r="VJ46" s="1" t="s">
        <v>57</v>
      </c>
      <c r="VK46" s="1">
        <v>2023</v>
      </c>
      <c r="VL46" s="1" t="s">
        <v>29</v>
      </c>
      <c r="VM46" s="1">
        <v>303011.09103395842</v>
      </c>
      <c r="VN46" s="1">
        <v>9238375.7834414635</v>
      </c>
      <c r="VO46" s="1">
        <v>3.2799173592512297E-2</v>
      </c>
      <c r="VP46" s="1"/>
      <c r="VQ46" s="22">
        <v>8547</v>
      </c>
      <c r="VR46" s="1" t="s">
        <v>17</v>
      </c>
      <c r="VS46" s="1">
        <v>2024</v>
      </c>
      <c r="VT46" s="1" t="s">
        <v>29</v>
      </c>
      <c r="VU46" s="1">
        <v>152277.56518469739</v>
      </c>
      <c r="VV46" s="1">
        <v>5123318.5714479852</v>
      </c>
      <c r="VW46" s="1">
        <v>2.9722447093829599E-2</v>
      </c>
      <c r="VX46" s="1"/>
      <c r="VY46" s="22">
        <v>9467</v>
      </c>
      <c r="VZ46" s="1" t="s">
        <v>61</v>
      </c>
      <c r="WA46" s="1">
        <v>2024</v>
      </c>
      <c r="WB46" s="1" t="s">
        <v>29</v>
      </c>
      <c r="WC46" s="1">
        <v>3670842.2835965869</v>
      </c>
      <c r="WD46" s="1">
        <v>64811890.820126347</v>
      </c>
      <c r="WE46" s="1">
        <v>5.6638407507417797E-2</v>
      </c>
      <c r="WF46" s="1"/>
      <c r="WG46" s="22">
        <v>10387</v>
      </c>
      <c r="WH46" s="1" t="s">
        <v>44</v>
      </c>
      <c r="WI46" s="1">
        <v>2024</v>
      </c>
      <c r="WJ46" s="1" t="s">
        <v>29</v>
      </c>
      <c r="WK46" s="1">
        <v>452401.98241310008</v>
      </c>
      <c r="WL46" s="1">
        <v>8046732.0684004631</v>
      </c>
      <c r="WM46" s="1">
        <v>5.62218275155058E-2</v>
      </c>
      <c r="WN46" s="1"/>
      <c r="WO46" s="22">
        <v>11307</v>
      </c>
      <c r="WP46" s="1" t="s">
        <v>38</v>
      </c>
      <c r="WQ46" s="1">
        <v>2024</v>
      </c>
      <c r="WR46" s="1" t="s">
        <v>29</v>
      </c>
      <c r="WS46" s="1">
        <v>506368.67224737752</v>
      </c>
      <c r="WT46" s="1">
        <v>7153354.2877160665</v>
      </c>
      <c r="WU46" s="1">
        <v>7.0787584660377795E-2</v>
      </c>
      <c r="WV46" s="1"/>
      <c r="WW46" s="22">
        <v>12227</v>
      </c>
      <c r="WX46" s="1" t="s">
        <v>31</v>
      </c>
      <c r="WY46" s="1">
        <v>2024</v>
      </c>
      <c r="WZ46" s="1" t="s">
        <v>29</v>
      </c>
      <c r="XA46" s="1">
        <v>519250.67759749631</v>
      </c>
      <c r="XB46" s="1">
        <v>10948294.03609846</v>
      </c>
      <c r="XC46" s="1">
        <v>4.7427542216662698E-2</v>
      </c>
      <c r="XD46" s="1"/>
      <c r="XE46" s="22">
        <v>13147</v>
      </c>
      <c r="XF46" s="1" t="s">
        <v>51</v>
      </c>
      <c r="XG46" s="1">
        <v>2024</v>
      </c>
      <c r="XH46" s="1" t="s">
        <v>29</v>
      </c>
      <c r="XI46" s="1">
        <v>254924.12546501131</v>
      </c>
      <c r="XJ46" s="1">
        <v>5413637.436055948</v>
      </c>
      <c r="XK46" s="1">
        <v>4.7089249783733897E-2</v>
      </c>
      <c r="XL46" s="1"/>
      <c r="XM46" s="22">
        <v>14067</v>
      </c>
      <c r="XN46" s="1" t="s">
        <v>57</v>
      </c>
      <c r="XO46" s="1">
        <v>2024</v>
      </c>
      <c r="XP46" s="1" t="s">
        <v>29</v>
      </c>
      <c r="XQ46" s="1">
        <v>289564.93206583959</v>
      </c>
      <c r="XR46" s="1">
        <v>8828421.583522588</v>
      </c>
      <c r="XS46" s="1">
        <v>3.2799173592512297E-2</v>
      </c>
      <c r="XT46" s="1"/>
    </row>
    <row r="47" spans="1:644" x14ac:dyDescent="0.25">
      <c r="A47" s="2">
        <v>38</v>
      </c>
      <c r="B47" s="1" t="s">
        <v>17</v>
      </c>
      <c r="C47" s="18" t="s">
        <v>29</v>
      </c>
      <c r="D47" s="18">
        <v>2.8342830060136749E-2</v>
      </c>
      <c r="E47" s="18">
        <v>2.8773431818515521E-2</v>
      </c>
      <c r="F47" s="18">
        <v>2.896913357280851E-2</v>
      </c>
      <c r="G47" s="18">
        <v>2.910193480154705E-2</v>
      </c>
      <c r="H47" s="18">
        <v>2.8672811863964569E-2</v>
      </c>
      <c r="I47" s="18">
        <v>2.8855306058056369E-2</v>
      </c>
      <c r="J47" s="18">
        <v>2.9722447093829631E-2</v>
      </c>
      <c r="K47" s="18">
        <v>2.9722447093829658E-2</v>
      </c>
      <c r="L47" s="18">
        <v>2.9722447093829658E-2</v>
      </c>
      <c r="M47" s="18">
        <v>2.9722447093829658E-2</v>
      </c>
      <c r="N47" s="18">
        <v>2.9722447093829669E-2</v>
      </c>
      <c r="O47" s="18">
        <v>2.9211607604016091E-2</v>
      </c>
      <c r="P47" s="1"/>
      <c r="Q47" s="2">
        <v>309</v>
      </c>
      <c r="R47" s="1" t="s">
        <v>61</v>
      </c>
      <c r="S47" s="1" t="s">
        <v>23</v>
      </c>
      <c r="T47" s="1">
        <v>1.6979105482628921E-2</v>
      </c>
      <c r="U47" s="1"/>
      <c r="AC47" s="22">
        <v>912</v>
      </c>
      <c r="AD47" s="1" t="s">
        <v>17</v>
      </c>
      <c r="AE47" s="1">
        <v>2014</v>
      </c>
      <c r="AF47" s="1" t="s">
        <v>63</v>
      </c>
      <c r="AG47" s="1">
        <v>85787.199999999997</v>
      </c>
      <c r="AH47" s="1">
        <v>4088215.6</v>
      </c>
      <c r="AI47" s="1">
        <v>2.09840205100729E-2</v>
      </c>
      <c r="AJ47" s="1"/>
      <c r="AK47" s="22">
        <v>2108</v>
      </c>
      <c r="AL47" s="1" t="s">
        <v>61</v>
      </c>
      <c r="AM47" s="1">
        <v>2014</v>
      </c>
      <c r="AN47" s="1" t="s">
        <v>63</v>
      </c>
      <c r="AO47" s="1">
        <v>1078870.3</v>
      </c>
      <c r="AP47" s="1">
        <v>40350049.200000003</v>
      </c>
      <c r="AQ47" s="1">
        <v>2.6737769132633399E-2</v>
      </c>
      <c r="AR47" s="1"/>
      <c r="AS47" s="22">
        <v>3304</v>
      </c>
      <c r="AT47" s="1" t="s">
        <v>44</v>
      </c>
      <c r="AU47" s="1">
        <v>2014</v>
      </c>
      <c r="AV47" s="1" t="s">
        <v>63</v>
      </c>
      <c r="AW47" s="1">
        <v>236351.4</v>
      </c>
      <c r="AX47" s="1">
        <v>6735816.8000000007</v>
      </c>
      <c r="AY47" s="1">
        <v>3.5088751226131899E-2</v>
      </c>
      <c r="AZ47" s="1"/>
      <c r="BA47" s="22">
        <v>4500</v>
      </c>
      <c r="BB47" s="1" t="s">
        <v>38</v>
      </c>
      <c r="BC47" s="1">
        <v>2014</v>
      </c>
      <c r="BD47" s="1" t="s">
        <v>63</v>
      </c>
      <c r="BE47" s="1">
        <v>235498.9</v>
      </c>
      <c r="BF47" s="1">
        <v>6538596.7000000002</v>
      </c>
      <c r="BG47" s="1">
        <v>3.6016734294072601E-2</v>
      </c>
      <c r="BH47" s="1"/>
      <c r="BI47" s="22">
        <v>5696</v>
      </c>
      <c r="BJ47" s="1" t="s">
        <v>31</v>
      </c>
      <c r="BK47" s="1">
        <v>2014</v>
      </c>
      <c r="BL47" s="1" t="s">
        <v>63</v>
      </c>
      <c r="BM47" s="1">
        <v>289035.40000000002</v>
      </c>
      <c r="BN47" s="1">
        <v>9155477.5</v>
      </c>
      <c r="BO47" s="1">
        <v>3.1569669632195499E-2</v>
      </c>
      <c r="BP47" s="1"/>
      <c r="BQ47" s="22">
        <v>6892</v>
      </c>
      <c r="BR47" s="1" t="s">
        <v>51</v>
      </c>
      <c r="BS47" s="1">
        <v>2014</v>
      </c>
      <c r="BT47" s="1" t="s">
        <v>63</v>
      </c>
      <c r="BU47" s="1">
        <v>132612.1</v>
      </c>
      <c r="BV47" s="1">
        <v>4981875.5</v>
      </c>
      <c r="BW47" s="1">
        <v>2.66189108900854E-2</v>
      </c>
      <c r="BX47" s="1"/>
      <c r="BY47" s="22">
        <v>8088</v>
      </c>
      <c r="BZ47" s="1" t="s">
        <v>57</v>
      </c>
      <c r="CA47" s="1">
        <v>2014</v>
      </c>
      <c r="CB47" s="1" t="s">
        <v>63</v>
      </c>
      <c r="CC47" s="1">
        <v>209631.1</v>
      </c>
      <c r="CD47" s="1">
        <v>11026913.800000001</v>
      </c>
      <c r="CE47" s="1">
        <v>1.9010858686498398E-2</v>
      </c>
      <c r="CF47" s="1"/>
      <c r="CG47" s="22">
        <v>958</v>
      </c>
      <c r="CH47" s="1" t="s">
        <v>17</v>
      </c>
      <c r="CI47" s="1">
        <v>2015</v>
      </c>
      <c r="CJ47" s="1" t="s">
        <v>63</v>
      </c>
      <c r="CK47" s="1">
        <v>77584.800000000003</v>
      </c>
      <c r="CL47" s="1">
        <v>3555133.8</v>
      </c>
      <c r="CM47" s="1">
        <v>2.1823313654186501E-2</v>
      </c>
      <c r="CN47" s="1"/>
      <c r="CO47" s="22">
        <v>2154</v>
      </c>
      <c r="CP47" s="1" t="s">
        <v>61</v>
      </c>
      <c r="CQ47" s="1">
        <v>2015</v>
      </c>
      <c r="CR47" s="1" t="s">
        <v>63</v>
      </c>
      <c r="CS47" s="1">
        <v>1119561.3999999999</v>
      </c>
      <c r="CT47" s="1">
        <v>41208556.399999999</v>
      </c>
      <c r="CU47" s="1">
        <v>2.7168178111670001E-2</v>
      </c>
      <c r="CV47" s="1"/>
      <c r="CW47" s="22">
        <v>3350</v>
      </c>
      <c r="CX47" s="1" t="s">
        <v>44</v>
      </c>
      <c r="CY47" s="1">
        <v>2015</v>
      </c>
      <c r="CZ47" s="1" t="s">
        <v>63</v>
      </c>
      <c r="DA47" s="1">
        <v>232239.4</v>
      </c>
      <c r="DB47" s="1">
        <v>6404349.4000000004</v>
      </c>
      <c r="DC47" s="1">
        <v>3.6262762303380797E-2</v>
      </c>
      <c r="DD47" s="1"/>
      <c r="DE47" s="22">
        <v>4546</v>
      </c>
      <c r="DF47" s="1" t="s">
        <v>38</v>
      </c>
      <c r="DG47" s="1">
        <v>2015</v>
      </c>
      <c r="DH47" s="1" t="s">
        <v>63</v>
      </c>
      <c r="DI47" s="1">
        <v>202265.8</v>
      </c>
      <c r="DJ47" s="1">
        <v>5531517.5999999996</v>
      </c>
      <c r="DK47" s="1">
        <v>3.65660591950389E-2</v>
      </c>
      <c r="DL47" s="1"/>
      <c r="DM47" s="22">
        <v>5742</v>
      </c>
      <c r="DN47" s="1" t="s">
        <v>31</v>
      </c>
      <c r="DO47" s="1">
        <v>2015</v>
      </c>
      <c r="DP47" s="1" t="s">
        <v>63</v>
      </c>
      <c r="DQ47" s="1">
        <v>252361.3</v>
      </c>
      <c r="DR47" s="1">
        <v>7894528</v>
      </c>
      <c r="DS47" s="1">
        <v>3.1966610290064201E-2</v>
      </c>
      <c r="DT47" s="1"/>
      <c r="DU47" s="22">
        <v>6938</v>
      </c>
      <c r="DV47" s="1" t="s">
        <v>51</v>
      </c>
      <c r="DW47" s="1">
        <v>2015</v>
      </c>
      <c r="DX47" s="1" t="s">
        <v>63</v>
      </c>
      <c r="DY47" s="1">
        <v>113443.9</v>
      </c>
      <c r="DZ47" s="1">
        <v>4209274.5999999996</v>
      </c>
      <c r="EA47" s="1">
        <v>2.69509382923128E-2</v>
      </c>
      <c r="EB47" s="1"/>
      <c r="EC47" s="22">
        <v>8134</v>
      </c>
      <c r="ED47" s="1" t="s">
        <v>57</v>
      </c>
      <c r="EE47" s="1">
        <v>2015</v>
      </c>
      <c r="EF47" s="1" t="s">
        <v>63</v>
      </c>
      <c r="EG47" s="1">
        <v>193837.7</v>
      </c>
      <c r="EH47" s="1">
        <v>9729477.0999999996</v>
      </c>
      <c r="EI47" s="1">
        <v>1.9922725343584999E-2</v>
      </c>
      <c r="EJ47" s="1"/>
      <c r="EK47" s="22">
        <v>1004</v>
      </c>
      <c r="EL47" s="1" t="s">
        <v>17</v>
      </c>
      <c r="EM47" s="1">
        <v>2016</v>
      </c>
      <c r="EN47" s="1" t="s">
        <v>63</v>
      </c>
      <c r="EO47" s="1">
        <v>76457.899999999994</v>
      </c>
      <c r="EP47" s="1">
        <v>3463407</v>
      </c>
      <c r="EQ47" s="1">
        <v>2.20759211955164E-2</v>
      </c>
      <c r="ER47" s="1"/>
      <c r="ES47" s="22">
        <v>2200</v>
      </c>
      <c r="ET47" s="1" t="s">
        <v>61</v>
      </c>
      <c r="EU47" s="1">
        <v>2016</v>
      </c>
      <c r="EV47" s="1" t="s">
        <v>63</v>
      </c>
      <c r="EW47" s="1">
        <v>1189016</v>
      </c>
      <c r="EX47" s="1">
        <v>42141395.200000003</v>
      </c>
      <c r="EY47" s="1">
        <v>2.82149177633302E-2</v>
      </c>
      <c r="EZ47" s="1"/>
      <c r="FA47" s="22">
        <v>3396</v>
      </c>
      <c r="FB47" s="1" t="s">
        <v>44</v>
      </c>
      <c r="FC47" s="1">
        <v>2016</v>
      </c>
      <c r="FD47" s="1" t="s">
        <v>63</v>
      </c>
      <c r="FE47" s="1">
        <v>212504.5</v>
      </c>
      <c r="FF47" s="1">
        <v>5868597.7999999998</v>
      </c>
      <c r="FG47" s="1">
        <v>3.62104385480293E-2</v>
      </c>
      <c r="FH47" s="1"/>
      <c r="FI47" s="22">
        <v>4592</v>
      </c>
      <c r="FJ47" s="1" t="s">
        <v>38</v>
      </c>
      <c r="FK47" s="1">
        <v>2016</v>
      </c>
      <c r="FL47" s="1" t="s">
        <v>63</v>
      </c>
      <c r="FM47" s="1">
        <v>208905</v>
      </c>
      <c r="FN47" s="1">
        <v>5582986.5</v>
      </c>
      <c r="FO47" s="1">
        <v>3.7418145288368503E-2</v>
      </c>
      <c r="FP47" s="1"/>
      <c r="FQ47" s="22">
        <v>5788</v>
      </c>
      <c r="FR47" s="1" t="s">
        <v>31</v>
      </c>
      <c r="FS47" s="1">
        <v>2016</v>
      </c>
      <c r="FT47" s="1" t="s">
        <v>63</v>
      </c>
      <c r="FU47" s="1">
        <v>264486</v>
      </c>
      <c r="FV47" s="1">
        <v>8130820.9000000004</v>
      </c>
      <c r="FW47" s="1">
        <v>3.25288188305808E-2</v>
      </c>
      <c r="FX47" s="1"/>
      <c r="FY47" s="22">
        <v>6984</v>
      </c>
      <c r="FZ47" s="1" t="s">
        <v>51</v>
      </c>
      <c r="GA47" s="1">
        <v>2016</v>
      </c>
      <c r="GB47" s="1" t="s">
        <v>63</v>
      </c>
      <c r="GC47" s="1">
        <v>112300</v>
      </c>
      <c r="GD47" s="1">
        <v>4230502.5999999996</v>
      </c>
      <c r="GE47" s="1">
        <v>2.6545309297292399E-2</v>
      </c>
      <c r="GF47" s="1"/>
      <c r="GG47" s="22">
        <v>8180</v>
      </c>
      <c r="GH47" s="1" t="s">
        <v>57</v>
      </c>
      <c r="GI47" s="1">
        <v>2016</v>
      </c>
      <c r="GJ47" s="1" t="s">
        <v>63</v>
      </c>
      <c r="GK47" s="1">
        <v>221158.39999999999</v>
      </c>
      <c r="GL47" s="1">
        <v>10773649.5</v>
      </c>
      <c r="GM47" s="1">
        <v>2.0527714401698299E-2</v>
      </c>
      <c r="GN47" s="1"/>
      <c r="GO47" s="22">
        <v>1050</v>
      </c>
      <c r="GP47" s="1" t="s">
        <v>17</v>
      </c>
      <c r="GQ47" s="1">
        <v>2017</v>
      </c>
      <c r="GR47" s="1" t="s">
        <v>63</v>
      </c>
      <c r="GS47" s="1">
        <v>80580.399999999994</v>
      </c>
      <c r="GT47" s="1">
        <v>3719735.5</v>
      </c>
      <c r="GU47" s="1">
        <v>2.1662938130950399E-2</v>
      </c>
      <c r="GV47" s="1"/>
      <c r="GW47" s="22">
        <v>2246</v>
      </c>
      <c r="GX47" s="1" t="s">
        <v>61</v>
      </c>
      <c r="GY47" s="1">
        <v>2017</v>
      </c>
      <c r="GZ47" s="1" t="s">
        <v>63</v>
      </c>
      <c r="HA47" s="1">
        <v>1256121.2</v>
      </c>
      <c r="HB47" s="1">
        <v>44107004.100000001</v>
      </c>
      <c r="HC47" s="1">
        <v>2.8478950806817501E-2</v>
      </c>
      <c r="HD47" s="1"/>
      <c r="HE47" s="22">
        <v>3442</v>
      </c>
      <c r="HF47" s="1" t="s">
        <v>44</v>
      </c>
      <c r="HG47" s="1">
        <v>2017</v>
      </c>
      <c r="HH47" s="1" t="s">
        <v>63</v>
      </c>
      <c r="HI47" s="1">
        <v>215936.7</v>
      </c>
      <c r="HJ47" s="1">
        <v>5855367.5</v>
      </c>
      <c r="HK47" s="1">
        <v>3.6878419672206703E-2</v>
      </c>
      <c r="HL47" s="1"/>
      <c r="HM47" s="22">
        <v>4638</v>
      </c>
      <c r="HN47" s="1" t="s">
        <v>38</v>
      </c>
      <c r="HO47" s="1">
        <v>2017</v>
      </c>
      <c r="HP47" s="1" t="s">
        <v>63</v>
      </c>
      <c r="HQ47" s="1">
        <v>222004.4</v>
      </c>
      <c r="HR47" s="1">
        <v>5923445.7000000002</v>
      </c>
      <c r="HS47" s="1">
        <v>3.7478928860612298E-2</v>
      </c>
      <c r="HT47" s="1"/>
      <c r="HU47" s="22">
        <v>5834</v>
      </c>
      <c r="HV47" s="1" t="s">
        <v>31</v>
      </c>
      <c r="HW47" s="1">
        <v>2017</v>
      </c>
      <c r="HX47" s="1" t="s">
        <v>63</v>
      </c>
      <c r="HY47" s="1">
        <v>285708.79999999999</v>
      </c>
      <c r="HZ47" s="1">
        <v>8686095.3000000007</v>
      </c>
      <c r="IA47" s="1">
        <v>3.28926623680953E-2</v>
      </c>
      <c r="IB47" s="1"/>
      <c r="IC47" s="22">
        <v>7030</v>
      </c>
      <c r="ID47" s="1" t="s">
        <v>51</v>
      </c>
      <c r="IE47" s="1">
        <v>2017</v>
      </c>
      <c r="IF47" s="1" t="s">
        <v>63</v>
      </c>
      <c r="IG47" s="1">
        <v>122312.2</v>
      </c>
      <c r="IH47" s="1">
        <v>4472691.8</v>
      </c>
      <c r="II47" s="1">
        <v>2.7346440458964699E-2</v>
      </c>
      <c r="IJ47" s="1"/>
      <c r="IK47" s="22">
        <v>8226</v>
      </c>
      <c r="IL47" s="1" t="s">
        <v>57</v>
      </c>
      <c r="IM47" s="1">
        <v>2017</v>
      </c>
      <c r="IN47" s="1" t="s">
        <v>63</v>
      </c>
      <c r="IO47" s="1">
        <v>220207.3</v>
      </c>
      <c r="IP47" s="1">
        <v>10750260.5</v>
      </c>
      <c r="IQ47" s="1">
        <v>2.0483903622614499E-2</v>
      </c>
      <c r="IR47" s="1"/>
      <c r="IS47" s="22">
        <v>1096</v>
      </c>
      <c r="IT47" s="1" t="s">
        <v>17</v>
      </c>
      <c r="IU47" s="1">
        <v>2018</v>
      </c>
      <c r="IV47" s="1" t="s">
        <v>63</v>
      </c>
      <c r="IW47" s="1">
        <v>84841.5</v>
      </c>
      <c r="IX47" s="1">
        <v>3904165.4</v>
      </c>
      <c r="IY47" s="1">
        <v>2.17310209244721E-2</v>
      </c>
      <c r="IZ47" s="1"/>
      <c r="JA47" s="22">
        <v>2292</v>
      </c>
      <c r="JB47" s="1" t="s">
        <v>61</v>
      </c>
      <c r="JC47" s="1">
        <v>2018</v>
      </c>
      <c r="JD47" s="1" t="s">
        <v>63</v>
      </c>
      <c r="JE47" s="1">
        <v>1360590.3</v>
      </c>
      <c r="JF47" s="1">
        <v>46669099.200000003</v>
      </c>
      <c r="JG47" s="1">
        <v>2.9153986756187401E-2</v>
      </c>
      <c r="JH47" s="1"/>
      <c r="JI47" s="22">
        <v>3488</v>
      </c>
      <c r="JJ47" s="1" t="s">
        <v>44</v>
      </c>
      <c r="JK47" s="1">
        <v>2018</v>
      </c>
      <c r="JL47" s="1" t="s">
        <v>63</v>
      </c>
      <c r="JM47" s="1">
        <v>236698.1</v>
      </c>
      <c r="JN47" s="1">
        <v>6336724.7000000002</v>
      </c>
      <c r="JO47" s="1">
        <v>3.7353382260712699E-2</v>
      </c>
      <c r="JP47" s="1"/>
      <c r="JQ47" s="22">
        <v>4684</v>
      </c>
      <c r="JR47" s="1" t="s">
        <v>38</v>
      </c>
      <c r="JS47" s="1">
        <v>2018</v>
      </c>
      <c r="JT47" s="1" t="s">
        <v>63</v>
      </c>
      <c r="JU47" s="1">
        <v>248378.7</v>
      </c>
      <c r="JV47" s="1">
        <v>6390706</v>
      </c>
      <c r="JW47" s="1">
        <v>3.8865612030971199E-2</v>
      </c>
      <c r="JX47" s="1"/>
      <c r="JY47" s="22">
        <v>5880</v>
      </c>
      <c r="JZ47" s="1" t="s">
        <v>31</v>
      </c>
      <c r="KA47" s="1">
        <v>2018</v>
      </c>
      <c r="KB47" s="1" t="s">
        <v>63</v>
      </c>
      <c r="KC47" s="1">
        <v>318640.90000000002</v>
      </c>
      <c r="KD47" s="1">
        <v>9443218.3000000007</v>
      </c>
      <c r="KE47" s="1">
        <v>3.3742828967535297E-2</v>
      </c>
      <c r="KF47" s="1"/>
      <c r="KG47" s="22">
        <v>7076</v>
      </c>
      <c r="KH47" s="1" t="s">
        <v>51</v>
      </c>
      <c r="KI47" s="1">
        <v>2018</v>
      </c>
      <c r="KJ47" s="1" t="s">
        <v>63</v>
      </c>
      <c r="KK47" s="1">
        <v>135567.4</v>
      </c>
      <c r="KL47" s="1">
        <v>4803387.8</v>
      </c>
      <c r="KM47" s="1">
        <v>2.8223288571453599E-2</v>
      </c>
      <c r="KN47" s="1"/>
      <c r="KO47" s="22">
        <v>8272</v>
      </c>
      <c r="KP47" s="1" t="s">
        <v>57</v>
      </c>
      <c r="KQ47" s="1">
        <v>2018</v>
      </c>
      <c r="KR47" s="1" t="s">
        <v>63</v>
      </c>
      <c r="KS47" s="1">
        <v>230486.39999999999</v>
      </c>
      <c r="KT47" s="1">
        <v>11172914.4</v>
      </c>
      <c r="KU47" s="1">
        <v>2.06290312221491E-2</v>
      </c>
      <c r="KV47" s="1"/>
      <c r="KW47" s="22">
        <v>1142</v>
      </c>
      <c r="KX47" s="1" t="s">
        <v>17</v>
      </c>
      <c r="KY47" s="1">
        <v>2019</v>
      </c>
      <c r="KZ47" s="1" t="s">
        <v>63</v>
      </c>
      <c r="LA47" s="1">
        <v>86474.4</v>
      </c>
      <c r="LB47" s="1">
        <v>3955328</v>
      </c>
      <c r="LC47" s="1">
        <v>2.18627633409922E-2</v>
      </c>
      <c r="LD47" s="1"/>
      <c r="LE47" s="22">
        <v>2338</v>
      </c>
      <c r="LF47" s="1" t="s">
        <v>61</v>
      </c>
      <c r="LG47" s="1">
        <v>2019</v>
      </c>
      <c r="LH47" s="1" t="s">
        <v>63</v>
      </c>
      <c r="LI47" s="1">
        <v>1450123.9</v>
      </c>
      <c r="LJ47" s="1">
        <v>48356774.5</v>
      </c>
      <c r="LK47" s="1">
        <v>2.9988019569005701E-2</v>
      </c>
      <c r="LL47" s="1"/>
      <c r="LM47" s="22">
        <v>3534</v>
      </c>
      <c r="LN47" s="1" t="s">
        <v>44</v>
      </c>
      <c r="LO47" s="1">
        <v>2019</v>
      </c>
      <c r="LP47" s="1" t="s">
        <v>63</v>
      </c>
      <c r="LQ47" s="1">
        <v>237892.6</v>
      </c>
      <c r="LR47" s="1">
        <v>6269787.0999999996</v>
      </c>
      <c r="LS47" s="1">
        <v>3.7942691865884802E-2</v>
      </c>
      <c r="LT47" s="1"/>
      <c r="LU47" s="22">
        <v>4730</v>
      </c>
      <c r="LV47" s="1" t="s">
        <v>38</v>
      </c>
      <c r="LW47" s="1">
        <v>2019</v>
      </c>
      <c r="LX47" s="1" t="s">
        <v>63</v>
      </c>
      <c r="LY47" s="1">
        <v>245397.1</v>
      </c>
      <c r="LZ47" s="1">
        <v>6182094.5</v>
      </c>
      <c r="MA47" s="1">
        <v>3.9694815406008402E-2</v>
      </c>
      <c r="MB47" s="1"/>
      <c r="MC47" s="22">
        <v>5926</v>
      </c>
      <c r="MD47" s="1" t="s">
        <v>31</v>
      </c>
      <c r="ME47" s="1">
        <v>2019</v>
      </c>
      <c r="MF47" s="1" t="s">
        <v>63</v>
      </c>
      <c r="MG47" s="1">
        <v>317170.7</v>
      </c>
      <c r="MH47" s="1">
        <v>9237079</v>
      </c>
      <c r="MI47" s="1">
        <v>3.4336688037419599E-2</v>
      </c>
      <c r="MJ47" s="1"/>
      <c r="MK47" s="22">
        <v>7122</v>
      </c>
      <c r="ML47" s="1" t="s">
        <v>51</v>
      </c>
      <c r="MM47" s="1">
        <v>2019</v>
      </c>
      <c r="MN47" s="1" t="s">
        <v>63</v>
      </c>
      <c r="MO47" s="1">
        <v>132060.9</v>
      </c>
      <c r="MP47" s="1">
        <v>4608662</v>
      </c>
      <c r="MQ47" s="1">
        <v>2.8654932819981101E-2</v>
      </c>
      <c r="MR47" s="1"/>
      <c r="MS47" s="22">
        <v>8318</v>
      </c>
      <c r="MT47" s="1" t="s">
        <v>57</v>
      </c>
      <c r="MU47" s="1">
        <v>2019</v>
      </c>
      <c r="MV47" s="1" t="s">
        <v>63</v>
      </c>
      <c r="MW47" s="1">
        <v>241895.1</v>
      </c>
      <c r="MX47" s="1">
        <v>11338077</v>
      </c>
      <c r="MY47" s="1">
        <v>2.1334755443978701E-2</v>
      </c>
      <c r="MZ47" s="1"/>
      <c r="NA47" s="22">
        <v>1188</v>
      </c>
      <c r="NB47" s="1" t="s">
        <v>17</v>
      </c>
      <c r="NC47" s="1">
        <v>2020</v>
      </c>
      <c r="ND47" s="1" t="s">
        <v>63</v>
      </c>
      <c r="NE47" s="1">
        <v>80287.100000000006</v>
      </c>
      <c r="NF47" s="1">
        <v>3784752.3</v>
      </c>
      <c r="NG47" s="1">
        <v>2.12133037081449E-2</v>
      </c>
      <c r="NH47" s="1"/>
      <c r="NI47" s="22">
        <v>2384</v>
      </c>
      <c r="NJ47" s="1" t="s">
        <v>61</v>
      </c>
      <c r="NK47" s="1">
        <v>2020</v>
      </c>
      <c r="NL47" s="1" t="s">
        <v>63</v>
      </c>
      <c r="NM47" s="1">
        <v>1375409.7</v>
      </c>
      <c r="NN47" s="1">
        <v>47421769.399999999</v>
      </c>
      <c r="NO47" s="1">
        <v>2.9003761719612199E-2</v>
      </c>
      <c r="NP47" s="1"/>
      <c r="NQ47" s="22">
        <v>3580</v>
      </c>
      <c r="NR47" s="1" t="s">
        <v>44</v>
      </c>
      <c r="NS47" s="1">
        <v>2020</v>
      </c>
      <c r="NT47" s="1" t="s">
        <v>63</v>
      </c>
      <c r="NU47" s="1">
        <v>197302.5</v>
      </c>
      <c r="NV47" s="1">
        <v>5955345.3666666672</v>
      </c>
      <c r="NW47" s="1">
        <v>3.3130320384833399E-2</v>
      </c>
      <c r="NX47" s="1"/>
      <c r="NY47" s="22">
        <v>4776</v>
      </c>
      <c r="NZ47" s="1" t="s">
        <v>38</v>
      </c>
      <c r="OA47" s="1">
        <v>2020</v>
      </c>
      <c r="OB47" s="1" t="s">
        <v>63</v>
      </c>
      <c r="OC47" s="1">
        <v>233910.2</v>
      </c>
      <c r="OD47" s="1">
        <v>5990228.4000000004</v>
      </c>
      <c r="OE47" s="1">
        <v>3.9048627928778099E-2</v>
      </c>
      <c r="OF47" s="1"/>
      <c r="OG47" s="22">
        <v>5972</v>
      </c>
      <c r="OH47" s="1" t="s">
        <v>31</v>
      </c>
      <c r="OI47" s="1">
        <v>2020</v>
      </c>
      <c r="OJ47" s="1" t="s">
        <v>63</v>
      </c>
      <c r="OK47" s="1">
        <v>277743.2</v>
      </c>
      <c r="OL47" s="1">
        <v>9257180.0999999996</v>
      </c>
      <c r="OM47" s="1">
        <v>3.0003002750265101E-2</v>
      </c>
      <c r="ON47" s="1"/>
      <c r="OO47" s="22">
        <v>7168</v>
      </c>
      <c r="OP47" s="1" t="s">
        <v>51</v>
      </c>
      <c r="OQ47" s="1">
        <v>2020</v>
      </c>
      <c r="OR47" s="1" t="s">
        <v>63</v>
      </c>
      <c r="OS47" s="1">
        <v>112485.8</v>
      </c>
      <c r="OT47" s="1">
        <v>4352046.4000000004</v>
      </c>
      <c r="OU47" s="1">
        <v>2.58466453850308E-2</v>
      </c>
      <c r="OV47" s="1"/>
      <c r="OW47" s="22">
        <v>8364</v>
      </c>
      <c r="OX47" s="1" t="s">
        <v>57</v>
      </c>
      <c r="OY47" s="1">
        <v>2020</v>
      </c>
      <c r="OZ47" s="1" t="s">
        <v>63</v>
      </c>
      <c r="PA47" s="1">
        <v>240951.4</v>
      </c>
      <c r="PB47" s="1">
        <v>11082248.733333331</v>
      </c>
      <c r="PC47" s="1">
        <v>2.1742103592681701E-2</v>
      </c>
      <c r="PD47" s="1"/>
      <c r="PE47" s="22">
        <v>8410</v>
      </c>
      <c r="PF47" s="1" t="s">
        <v>17</v>
      </c>
      <c r="PG47" s="1">
        <v>2021</v>
      </c>
      <c r="PH47" s="1" t="s">
        <v>63</v>
      </c>
      <c r="PI47" s="1">
        <v>98069.086597651636</v>
      </c>
      <c r="PJ47" s="1">
        <v>4622999.2247741111</v>
      </c>
      <c r="PK47" s="1">
        <v>2.12133037081449E-2</v>
      </c>
      <c r="PL47" s="1"/>
      <c r="PM47" s="22">
        <v>9330</v>
      </c>
      <c r="PN47" s="1" t="s">
        <v>61</v>
      </c>
      <c r="PO47" s="1">
        <v>2021</v>
      </c>
      <c r="PP47" s="1" t="s">
        <v>63</v>
      </c>
      <c r="PQ47" s="1">
        <v>1525297.3521543839</v>
      </c>
      <c r="PR47" s="1">
        <v>52589638.782026872</v>
      </c>
      <c r="PS47" s="1">
        <v>2.9003761719612199E-2</v>
      </c>
      <c r="PT47" s="1"/>
      <c r="PU47" s="22">
        <v>10250</v>
      </c>
      <c r="PV47" s="1" t="s">
        <v>44</v>
      </c>
      <c r="PW47" s="1">
        <v>2021</v>
      </c>
      <c r="PX47" s="1" t="s">
        <v>63</v>
      </c>
      <c r="PY47" s="1">
        <v>229972.3723477626</v>
      </c>
      <c r="PZ47" s="1">
        <v>6941447.2808129201</v>
      </c>
      <c r="QA47" s="1">
        <v>3.3130320384833399E-2</v>
      </c>
      <c r="QB47" s="1"/>
      <c r="QC47" s="22">
        <v>11170</v>
      </c>
      <c r="QD47" s="1" t="s">
        <v>38</v>
      </c>
      <c r="QE47" s="1">
        <v>2021</v>
      </c>
      <c r="QF47" s="1" t="s">
        <v>63</v>
      </c>
      <c r="QG47" s="1">
        <v>262045.53541294491</v>
      </c>
      <c r="QH47" s="1">
        <v>6710748.8614170318</v>
      </c>
      <c r="QI47" s="1">
        <v>3.9048627928778099E-2</v>
      </c>
      <c r="QJ47" s="1"/>
      <c r="QK47" s="22">
        <v>12090</v>
      </c>
      <c r="QL47" s="1" t="s">
        <v>31</v>
      </c>
      <c r="QM47" s="1">
        <v>2021</v>
      </c>
      <c r="QN47" s="1" t="s">
        <v>63</v>
      </c>
      <c r="QO47" s="1">
        <v>306514.68134634738</v>
      </c>
      <c r="QP47" s="1">
        <v>10216133.49495957</v>
      </c>
      <c r="QQ47" s="1">
        <v>3.0003002750265101E-2</v>
      </c>
      <c r="QR47" s="1"/>
      <c r="QS47" s="22">
        <v>13010</v>
      </c>
      <c r="QT47" s="1" t="s">
        <v>51</v>
      </c>
      <c r="QU47" s="1">
        <v>2021</v>
      </c>
      <c r="QV47" s="1" t="s">
        <v>63</v>
      </c>
      <c r="QW47" s="1">
        <v>128509.96090024531</v>
      </c>
      <c r="QX47" s="1">
        <v>4972017.0252605537</v>
      </c>
      <c r="QY47" s="1">
        <v>2.58466453850308E-2</v>
      </c>
      <c r="QZ47" s="1"/>
      <c r="RA47" s="22">
        <v>13930</v>
      </c>
      <c r="RB47" s="1" t="s">
        <v>57</v>
      </c>
      <c r="RC47" s="1">
        <v>2021</v>
      </c>
      <c r="RD47" s="1" t="s">
        <v>63</v>
      </c>
      <c r="RE47" s="1">
        <v>240240.0930952667</v>
      </c>
      <c r="RF47" s="1">
        <v>11049533.09007922</v>
      </c>
      <c r="RG47" s="1">
        <v>2.1742103592681701E-2</v>
      </c>
      <c r="RH47" s="1"/>
      <c r="RI47" s="22">
        <v>8456</v>
      </c>
      <c r="RJ47" s="1" t="s">
        <v>17</v>
      </c>
      <c r="RK47" s="1">
        <v>2022</v>
      </c>
      <c r="RL47" s="1" t="s">
        <v>63</v>
      </c>
      <c r="RM47" s="1">
        <v>106217.1837015606</v>
      </c>
      <c r="RN47" s="1">
        <v>5007102.3902221443</v>
      </c>
      <c r="RO47" s="1">
        <v>2.12133037081449E-2</v>
      </c>
      <c r="RP47" s="1"/>
      <c r="RQ47" s="22">
        <v>9376</v>
      </c>
      <c r="RR47" s="1" t="s">
        <v>61</v>
      </c>
      <c r="RS47" s="1">
        <v>2022</v>
      </c>
      <c r="RT47" s="1" t="s">
        <v>63</v>
      </c>
      <c r="RU47" s="1">
        <v>1675094.830825459</v>
      </c>
      <c r="RV47" s="1">
        <v>57754399.13688051</v>
      </c>
      <c r="RW47" s="1">
        <v>2.9003761719612199E-2</v>
      </c>
      <c r="RX47" s="1"/>
      <c r="RY47" s="22">
        <v>10296</v>
      </c>
      <c r="RZ47" s="1" t="s">
        <v>44</v>
      </c>
      <c r="SA47" s="1">
        <v>2022</v>
      </c>
      <c r="SB47" s="1" t="s">
        <v>63</v>
      </c>
      <c r="SC47" s="1">
        <v>227830.18158692939</v>
      </c>
      <c r="SD47" s="1">
        <v>6876787.7563667288</v>
      </c>
      <c r="SE47" s="1">
        <v>3.3130320384833399E-2</v>
      </c>
      <c r="SF47" s="1"/>
      <c r="SG47" s="22">
        <v>11216</v>
      </c>
      <c r="SH47" s="1" t="s">
        <v>38</v>
      </c>
      <c r="SI47" s="1">
        <v>2022</v>
      </c>
      <c r="SJ47" s="1" t="s">
        <v>63</v>
      </c>
      <c r="SK47" s="1">
        <v>247016.76111528609</v>
      </c>
      <c r="SL47" s="1">
        <v>6325875.5612572851</v>
      </c>
      <c r="SM47" s="1">
        <v>3.9048627928778099E-2</v>
      </c>
      <c r="SN47" s="1"/>
      <c r="SO47" s="22">
        <v>12136</v>
      </c>
      <c r="SP47" s="1" t="s">
        <v>31</v>
      </c>
      <c r="SQ47" s="1">
        <v>2022</v>
      </c>
      <c r="SR47" s="1" t="s">
        <v>63</v>
      </c>
      <c r="SS47" s="1">
        <v>293495.05030785641</v>
      </c>
      <c r="ST47" s="1">
        <v>9782189.227885304</v>
      </c>
      <c r="SU47" s="1">
        <v>3.0003002750265101E-2</v>
      </c>
      <c r="SV47" s="1"/>
      <c r="SW47" s="22">
        <v>13056</v>
      </c>
      <c r="SX47" s="1" t="s">
        <v>51</v>
      </c>
      <c r="SY47" s="1">
        <v>2022</v>
      </c>
      <c r="SZ47" s="1" t="s">
        <v>63</v>
      </c>
      <c r="TA47" s="1">
        <v>124078.8879600309</v>
      </c>
      <c r="TB47" s="1">
        <v>4800579.963537232</v>
      </c>
      <c r="TC47" s="1">
        <v>2.58466453850308E-2</v>
      </c>
      <c r="TD47" s="1"/>
      <c r="TE47" s="22">
        <v>13976</v>
      </c>
      <c r="TF47" s="1" t="s">
        <v>57</v>
      </c>
      <c r="TG47" s="1">
        <v>2022</v>
      </c>
      <c r="TH47" s="1" t="s">
        <v>63</v>
      </c>
      <c r="TI47" s="1">
        <v>203211.61053250061</v>
      </c>
      <c r="TJ47" s="1">
        <v>9346455.8140041605</v>
      </c>
      <c r="TK47" s="1">
        <v>2.1742103592681701E-2</v>
      </c>
      <c r="TL47" s="1"/>
      <c r="TM47" s="22">
        <v>8502</v>
      </c>
      <c r="TN47" s="1" t="s">
        <v>17</v>
      </c>
      <c r="TO47" s="1">
        <v>2023</v>
      </c>
      <c r="TP47" s="1" t="s">
        <v>63</v>
      </c>
      <c r="TQ47" s="1">
        <v>105389.4266488693</v>
      </c>
      <c r="TR47" s="1">
        <v>4968081.7329930915</v>
      </c>
      <c r="TS47" s="1">
        <v>2.12133037081449E-2</v>
      </c>
      <c r="TT47" s="1"/>
      <c r="TU47" s="22">
        <v>9422</v>
      </c>
      <c r="TV47" s="1" t="s">
        <v>61</v>
      </c>
      <c r="TW47" s="1">
        <v>2023</v>
      </c>
      <c r="TX47" s="1" t="s">
        <v>63</v>
      </c>
      <c r="TY47" s="1">
        <v>1785480.0563259481</v>
      </c>
      <c r="TZ47" s="1">
        <v>61560292.543660469</v>
      </c>
      <c r="UA47" s="1">
        <v>2.9003761719612199E-2</v>
      </c>
      <c r="UB47" s="1"/>
      <c r="UC47" s="22">
        <v>10342</v>
      </c>
      <c r="UD47" s="1" t="s">
        <v>44</v>
      </c>
      <c r="UE47" s="1">
        <v>2023</v>
      </c>
      <c r="UF47" s="1" t="s">
        <v>63</v>
      </c>
      <c r="UG47" s="1">
        <v>246546.5490881716</v>
      </c>
      <c r="UH47" s="1">
        <v>7441719.4347760417</v>
      </c>
      <c r="UI47" s="1">
        <v>3.3130320384833399E-2</v>
      </c>
      <c r="UJ47" s="1"/>
      <c r="UK47" s="22">
        <v>11262</v>
      </c>
      <c r="UL47" s="1" t="s">
        <v>38</v>
      </c>
      <c r="UM47" s="1">
        <v>2023</v>
      </c>
      <c r="UN47" s="1" t="s">
        <v>63</v>
      </c>
      <c r="UO47" s="1">
        <v>269589.51545773458</v>
      </c>
      <c r="UP47" s="1">
        <v>6903943.3587640161</v>
      </c>
      <c r="UQ47" s="1">
        <v>3.9048627928778099E-2</v>
      </c>
      <c r="UR47" s="1"/>
      <c r="US47" s="22">
        <v>12182</v>
      </c>
      <c r="UT47" s="1" t="s">
        <v>31</v>
      </c>
      <c r="UU47" s="1">
        <v>2023</v>
      </c>
      <c r="UV47" s="1" t="s">
        <v>63</v>
      </c>
      <c r="UW47" s="1">
        <v>319019.73032430251</v>
      </c>
      <c r="UX47" s="1">
        <v>10632926.743356841</v>
      </c>
      <c r="UY47" s="1">
        <v>3.0003002750265101E-2</v>
      </c>
      <c r="UZ47" s="1"/>
      <c r="VA47" s="22">
        <v>13102</v>
      </c>
      <c r="VB47" s="1" t="s">
        <v>51</v>
      </c>
      <c r="VC47" s="1">
        <v>2023</v>
      </c>
      <c r="VD47" s="1" t="s">
        <v>63</v>
      </c>
      <c r="VE47" s="1">
        <v>135904.9109495249</v>
      </c>
      <c r="VF47" s="1">
        <v>5258125.7228930313</v>
      </c>
      <c r="VG47" s="1">
        <v>2.58466453850308E-2</v>
      </c>
      <c r="VH47" s="1"/>
      <c r="VI47" s="22">
        <v>14022</v>
      </c>
      <c r="VJ47" s="1" t="s">
        <v>57</v>
      </c>
      <c r="VK47" s="1">
        <v>2023</v>
      </c>
      <c r="VL47" s="1" t="s">
        <v>63</v>
      </c>
      <c r="VM47" s="1">
        <v>200861.7233117063</v>
      </c>
      <c r="VN47" s="1">
        <v>9238375.7834414635</v>
      </c>
      <c r="VO47" s="1">
        <v>2.1742103592681701E-2</v>
      </c>
      <c r="VP47" s="1"/>
      <c r="VQ47" s="22">
        <v>8548</v>
      </c>
      <c r="VR47" s="1" t="s">
        <v>17</v>
      </c>
      <c r="VS47" s="1">
        <v>2024</v>
      </c>
      <c r="VT47" s="1" t="s">
        <v>63</v>
      </c>
      <c r="VU47" s="1">
        <v>108682.51284970521</v>
      </c>
      <c r="VV47" s="1">
        <v>5123318.5714479852</v>
      </c>
      <c r="VW47" s="1">
        <v>2.12133037081449E-2</v>
      </c>
      <c r="VX47" s="1"/>
      <c r="VY47" s="22">
        <v>9468</v>
      </c>
      <c r="VZ47" s="1" t="s">
        <v>61</v>
      </c>
      <c r="WA47" s="1">
        <v>2024</v>
      </c>
      <c r="WB47" s="1" t="s">
        <v>63</v>
      </c>
      <c r="WC47" s="1">
        <v>1879788.637944466</v>
      </c>
      <c r="WD47" s="1">
        <v>64811890.820126347</v>
      </c>
      <c r="WE47" s="1">
        <v>2.9003761719612199E-2</v>
      </c>
      <c r="WF47" s="1"/>
      <c r="WG47" s="22">
        <v>10388</v>
      </c>
      <c r="WH47" s="1" t="s">
        <v>44</v>
      </c>
      <c r="WI47" s="1">
        <v>2024</v>
      </c>
      <c r="WJ47" s="1" t="s">
        <v>63</v>
      </c>
      <c r="WK47" s="1">
        <v>266590.8114770205</v>
      </c>
      <c r="WL47" s="1">
        <v>8046732.0684004631</v>
      </c>
      <c r="WM47" s="1">
        <v>3.3130320384833399E-2</v>
      </c>
      <c r="WN47" s="1"/>
      <c r="WO47" s="22">
        <v>11308</v>
      </c>
      <c r="WP47" s="1" t="s">
        <v>38</v>
      </c>
      <c r="WQ47" s="1">
        <v>2024</v>
      </c>
      <c r="WR47" s="1" t="s">
        <v>63</v>
      </c>
      <c r="WS47" s="1">
        <v>279328.67002375412</v>
      </c>
      <c r="WT47" s="1">
        <v>7153354.2877160665</v>
      </c>
      <c r="WU47" s="1">
        <v>3.9048627928778099E-2</v>
      </c>
      <c r="WV47" s="1"/>
      <c r="WW47" s="22">
        <v>12228</v>
      </c>
      <c r="WX47" s="1" t="s">
        <v>31</v>
      </c>
      <c r="WY47" s="1">
        <v>2024</v>
      </c>
      <c r="WZ47" s="1" t="s">
        <v>63</v>
      </c>
      <c r="XA47" s="1">
        <v>328481.69607577322</v>
      </c>
      <c r="XB47" s="1">
        <v>10948294.03609846</v>
      </c>
      <c r="XC47" s="1">
        <v>3.0003002750265101E-2</v>
      </c>
      <c r="XD47" s="1"/>
      <c r="XE47" s="22">
        <v>13148</v>
      </c>
      <c r="XF47" s="1" t="s">
        <v>51</v>
      </c>
      <c r="XG47" s="1">
        <v>2024</v>
      </c>
      <c r="XH47" s="1" t="s">
        <v>63</v>
      </c>
      <c r="XI47" s="1">
        <v>139924.36705286539</v>
      </c>
      <c r="XJ47" s="1">
        <v>5413637.436055948</v>
      </c>
      <c r="XK47" s="1">
        <v>2.58466453850308E-2</v>
      </c>
      <c r="XL47" s="1"/>
      <c r="XM47" s="22">
        <v>14068</v>
      </c>
      <c r="XN47" s="1" t="s">
        <v>57</v>
      </c>
      <c r="XO47" s="1">
        <v>2024</v>
      </c>
      <c r="XP47" s="1" t="s">
        <v>63</v>
      </c>
      <c r="XQ47" s="1">
        <v>191948.45662881521</v>
      </c>
      <c r="XR47" s="1">
        <v>8828421.583522588</v>
      </c>
      <c r="XS47" s="1">
        <v>2.1742103592681701E-2</v>
      </c>
      <c r="XT47" s="1"/>
    </row>
    <row r="48" spans="1:644" x14ac:dyDescent="0.25">
      <c r="A48" s="2">
        <v>39</v>
      </c>
      <c r="B48" s="1" t="s">
        <v>17</v>
      </c>
      <c r="C48" s="1" t="s">
        <v>63</v>
      </c>
      <c r="D48" s="1">
        <v>2.09840205100729E-2</v>
      </c>
      <c r="E48" s="1">
        <v>2.1823313654186521E-2</v>
      </c>
      <c r="F48" s="1">
        <v>2.2075921195516431E-2</v>
      </c>
      <c r="G48" s="1">
        <v>2.1662938130950441E-2</v>
      </c>
      <c r="H48" s="1">
        <v>2.17310209244721E-2</v>
      </c>
      <c r="I48" s="1">
        <v>2.18627633409922E-2</v>
      </c>
      <c r="J48" s="1">
        <v>2.1213303708144921E-2</v>
      </c>
      <c r="K48" s="1">
        <v>2.1213303708144941E-2</v>
      </c>
      <c r="L48" s="1">
        <v>2.1213303708144941E-2</v>
      </c>
      <c r="M48" s="1">
        <v>2.1213303708144941E-2</v>
      </c>
      <c r="N48" s="1">
        <v>2.1213303708144941E-2</v>
      </c>
      <c r="O48" s="1">
        <v>2.147331784517412E-2</v>
      </c>
      <c r="P48" s="1"/>
      <c r="Q48" s="2">
        <v>310</v>
      </c>
      <c r="R48" s="1" t="s">
        <v>61</v>
      </c>
      <c r="S48" s="19" t="s">
        <v>25</v>
      </c>
      <c r="T48" s="19">
        <v>1.3870275562867809E-2</v>
      </c>
      <c r="U48" s="1"/>
      <c r="AC48" s="22">
        <v>913</v>
      </c>
      <c r="AD48" s="1" t="s">
        <v>17</v>
      </c>
      <c r="AE48" s="1">
        <v>2014</v>
      </c>
      <c r="AF48" s="1" t="s">
        <v>64</v>
      </c>
      <c r="AG48" s="1">
        <v>211942.9</v>
      </c>
      <c r="AH48" s="1">
        <v>4088215.6</v>
      </c>
      <c r="AI48" s="1">
        <v>5.18423979400695E-2</v>
      </c>
      <c r="AJ48" s="1"/>
      <c r="AK48" s="22">
        <v>2109</v>
      </c>
      <c r="AL48" s="1" t="s">
        <v>61</v>
      </c>
      <c r="AM48" s="1">
        <v>2014</v>
      </c>
      <c r="AN48" s="1" t="s">
        <v>64</v>
      </c>
      <c r="AO48" s="1">
        <v>2507064.9</v>
      </c>
      <c r="AP48" s="1">
        <v>40350049.200000003</v>
      </c>
      <c r="AQ48" s="1">
        <v>6.2132883347264897E-2</v>
      </c>
      <c r="AR48" s="1"/>
      <c r="AS48" s="22">
        <v>3305</v>
      </c>
      <c r="AT48" s="1" t="s">
        <v>44</v>
      </c>
      <c r="AU48" s="1">
        <v>2014</v>
      </c>
      <c r="AV48" s="1" t="s">
        <v>64</v>
      </c>
      <c r="AW48" s="1">
        <v>245867.2</v>
      </c>
      <c r="AX48" s="1">
        <v>6735816.8000000007</v>
      </c>
      <c r="AY48" s="1">
        <v>3.6501467795264197E-2</v>
      </c>
      <c r="AZ48" s="1"/>
      <c r="BA48" s="22">
        <v>4501</v>
      </c>
      <c r="BB48" s="1" t="s">
        <v>38</v>
      </c>
      <c r="BC48" s="1">
        <v>2014</v>
      </c>
      <c r="BD48" s="1" t="s">
        <v>64</v>
      </c>
      <c r="BE48" s="1">
        <v>285115</v>
      </c>
      <c r="BF48" s="1">
        <v>6538596.7000000002</v>
      </c>
      <c r="BG48" s="1">
        <v>4.3604922138721199E-2</v>
      </c>
      <c r="BH48" s="1"/>
      <c r="BI48" s="22">
        <v>5697</v>
      </c>
      <c r="BJ48" s="1" t="s">
        <v>31</v>
      </c>
      <c r="BK48" s="1">
        <v>2014</v>
      </c>
      <c r="BL48" s="1" t="s">
        <v>64</v>
      </c>
      <c r="BM48" s="1">
        <v>332377.7</v>
      </c>
      <c r="BN48" s="1">
        <v>9155477.5</v>
      </c>
      <c r="BO48" s="1">
        <v>3.6303699069764502E-2</v>
      </c>
      <c r="BP48" s="1"/>
      <c r="BQ48" s="22">
        <v>6893</v>
      </c>
      <c r="BR48" s="1" t="s">
        <v>51</v>
      </c>
      <c r="BS48" s="1">
        <v>2014</v>
      </c>
      <c r="BT48" s="1" t="s">
        <v>64</v>
      </c>
      <c r="BU48" s="1">
        <v>191616.6</v>
      </c>
      <c r="BV48" s="1">
        <v>4981875.5</v>
      </c>
      <c r="BW48" s="1">
        <v>3.8462743599273E-2</v>
      </c>
      <c r="BX48" s="1"/>
      <c r="BY48" s="22">
        <v>8089</v>
      </c>
      <c r="BZ48" s="1" t="s">
        <v>57</v>
      </c>
      <c r="CA48" s="1">
        <v>2014</v>
      </c>
      <c r="CB48" s="1" t="s">
        <v>64</v>
      </c>
      <c r="CC48" s="1">
        <v>341922.2</v>
      </c>
      <c r="CD48" s="1">
        <v>11026913.800000001</v>
      </c>
      <c r="CE48" s="1">
        <v>3.10079688842765E-2</v>
      </c>
      <c r="CF48" s="1"/>
      <c r="CG48" s="22">
        <v>959</v>
      </c>
      <c r="CH48" s="1" t="s">
        <v>17</v>
      </c>
      <c r="CI48" s="1">
        <v>2015</v>
      </c>
      <c r="CJ48" s="1" t="s">
        <v>64</v>
      </c>
      <c r="CK48" s="1">
        <v>187722.2</v>
      </c>
      <c r="CL48" s="1">
        <v>3555133.8</v>
      </c>
      <c r="CM48" s="1">
        <v>5.2803132191536602E-2</v>
      </c>
      <c r="CN48" s="1"/>
      <c r="CO48" s="22">
        <v>2155</v>
      </c>
      <c r="CP48" s="1" t="s">
        <v>61</v>
      </c>
      <c r="CQ48" s="1">
        <v>2015</v>
      </c>
      <c r="CR48" s="1" t="s">
        <v>64</v>
      </c>
      <c r="CS48" s="1">
        <v>2551701.5</v>
      </c>
      <c r="CT48" s="1">
        <v>41208556.399999999</v>
      </c>
      <c r="CU48" s="1">
        <v>6.1921642564503901E-2</v>
      </c>
      <c r="CV48" s="1"/>
      <c r="CW48" s="22">
        <v>3351</v>
      </c>
      <c r="CX48" s="1" t="s">
        <v>44</v>
      </c>
      <c r="CY48" s="1">
        <v>2015</v>
      </c>
      <c r="CZ48" s="1" t="s">
        <v>64</v>
      </c>
      <c r="DA48" s="1">
        <v>230183.8</v>
      </c>
      <c r="DB48" s="1">
        <v>6404349.4000000004</v>
      </c>
      <c r="DC48" s="1">
        <v>3.5941792932159503E-2</v>
      </c>
      <c r="DD48" s="1"/>
      <c r="DE48" s="22">
        <v>4547</v>
      </c>
      <c r="DF48" s="1" t="s">
        <v>38</v>
      </c>
      <c r="DG48" s="1">
        <v>2015</v>
      </c>
      <c r="DH48" s="1" t="s">
        <v>64</v>
      </c>
      <c r="DI48" s="1">
        <v>237967.5</v>
      </c>
      <c r="DJ48" s="1">
        <v>5531517.5999999996</v>
      </c>
      <c r="DK48" s="1">
        <v>4.3020291574232698E-2</v>
      </c>
      <c r="DL48" s="1"/>
      <c r="DM48" s="22">
        <v>5743</v>
      </c>
      <c r="DN48" s="1" t="s">
        <v>31</v>
      </c>
      <c r="DO48" s="1">
        <v>2015</v>
      </c>
      <c r="DP48" s="1" t="s">
        <v>64</v>
      </c>
      <c r="DQ48" s="1">
        <v>286746.5</v>
      </c>
      <c r="DR48" s="1">
        <v>7894528</v>
      </c>
      <c r="DS48" s="1">
        <v>3.6322184176178697E-2</v>
      </c>
      <c r="DT48" s="1"/>
      <c r="DU48" s="22">
        <v>6939</v>
      </c>
      <c r="DV48" s="1" t="s">
        <v>51</v>
      </c>
      <c r="DW48" s="1">
        <v>2015</v>
      </c>
      <c r="DX48" s="1" t="s">
        <v>64</v>
      </c>
      <c r="DY48" s="1">
        <v>158101.6</v>
      </c>
      <c r="DZ48" s="1">
        <v>4209274.5999999996</v>
      </c>
      <c r="EA48" s="1">
        <v>3.7560296018701103E-2</v>
      </c>
      <c r="EB48" s="1"/>
      <c r="EC48" s="22">
        <v>8135</v>
      </c>
      <c r="ED48" s="1" t="s">
        <v>57</v>
      </c>
      <c r="EE48" s="1">
        <v>2015</v>
      </c>
      <c r="EF48" s="1" t="s">
        <v>64</v>
      </c>
      <c r="EG48" s="1">
        <v>301379.40000000002</v>
      </c>
      <c r="EH48" s="1">
        <v>9729477.0999999996</v>
      </c>
      <c r="EI48" s="1">
        <v>3.0975909280879999E-2</v>
      </c>
      <c r="EJ48" s="1"/>
      <c r="EK48" s="22">
        <v>1005</v>
      </c>
      <c r="EL48" s="1" t="s">
        <v>17</v>
      </c>
      <c r="EM48" s="1">
        <v>2016</v>
      </c>
      <c r="EN48" s="1" t="s">
        <v>64</v>
      </c>
      <c r="EO48" s="1">
        <v>186026.6</v>
      </c>
      <c r="EP48" s="1">
        <v>3463407</v>
      </c>
      <c r="EQ48" s="1">
        <v>5.3712024027207803E-2</v>
      </c>
      <c r="ER48" s="1"/>
      <c r="ES48" s="22">
        <v>2201</v>
      </c>
      <c r="ET48" s="1" t="s">
        <v>61</v>
      </c>
      <c r="EU48" s="1">
        <v>2016</v>
      </c>
      <c r="EV48" s="1" t="s">
        <v>64</v>
      </c>
      <c r="EW48" s="1">
        <v>2607472.9</v>
      </c>
      <c r="EX48" s="1">
        <v>42141395.200000003</v>
      </c>
      <c r="EY48" s="1">
        <v>6.1874384737978398E-2</v>
      </c>
      <c r="EZ48" s="1"/>
      <c r="FA48" s="22">
        <v>3397</v>
      </c>
      <c r="FB48" s="1" t="s">
        <v>44</v>
      </c>
      <c r="FC48" s="1">
        <v>2016</v>
      </c>
      <c r="FD48" s="1" t="s">
        <v>64</v>
      </c>
      <c r="FE48" s="1">
        <v>207718.9</v>
      </c>
      <c r="FF48" s="1">
        <v>5868597.7999999998</v>
      </c>
      <c r="FG48" s="1">
        <v>3.5394979700261599E-2</v>
      </c>
      <c r="FH48" s="1"/>
      <c r="FI48" s="22">
        <v>4593</v>
      </c>
      <c r="FJ48" s="1" t="s">
        <v>38</v>
      </c>
      <c r="FK48" s="1">
        <v>2016</v>
      </c>
      <c r="FL48" s="1" t="s">
        <v>64</v>
      </c>
      <c r="FM48" s="1">
        <v>238247.1</v>
      </c>
      <c r="FN48" s="1">
        <v>5582986.5</v>
      </c>
      <c r="FO48" s="1">
        <v>4.2673773257377499E-2</v>
      </c>
      <c r="FP48" s="1"/>
      <c r="FQ48" s="22">
        <v>5789</v>
      </c>
      <c r="FR48" s="1" t="s">
        <v>31</v>
      </c>
      <c r="FS48" s="1">
        <v>2016</v>
      </c>
      <c r="FT48" s="1" t="s">
        <v>64</v>
      </c>
      <c r="FU48" s="1">
        <v>296858.7</v>
      </c>
      <c r="FV48" s="1">
        <v>8130820.9000000004</v>
      </c>
      <c r="FW48" s="1">
        <v>3.6510298732566997E-2</v>
      </c>
      <c r="FX48" s="1"/>
      <c r="FY48" s="22">
        <v>6985</v>
      </c>
      <c r="FZ48" s="1" t="s">
        <v>51</v>
      </c>
      <c r="GA48" s="1">
        <v>2016</v>
      </c>
      <c r="GB48" s="1" t="s">
        <v>64</v>
      </c>
      <c r="GC48" s="1">
        <v>160677.5</v>
      </c>
      <c r="GD48" s="1">
        <v>4230502.5999999996</v>
      </c>
      <c r="GE48" s="1">
        <v>3.7980711795331301E-2</v>
      </c>
      <c r="GF48" s="1"/>
      <c r="GG48" s="22">
        <v>8181</v>
      </c>
      <c r="GH48" s="1" t="s">
        <v>57</v>
      </c>
      <c r="GI48" s="1">
        <v>2016</v>
      </c>
      <c r="GJ48" s="1" t="s">
        <v>64</v>
      </c>
      <c r="GK48" s="1">
        <v>339579.2</v>
      </c>
      <c r="GL48" s="1">
        <v>10773649.5</v>
      </c>
      <c r="GM48" s="1">
        <v>3.1519421529352699E-2</v>
      </c>
      <c r="GN48" s="1"/>
      <c r="GO48" s="22">
        <v>1051</v>
      </c>
      <c r="GP48" s="1" t="s">
        <v>17</v>
      </c>
      <c r="GQ48" s="1">
        <v>2017</v>
      </c>
      <c r="GR48" s="1" t="s">
        <v>64</v>
      </c>
      <c r="GS48" s="1">
        <v>201045.2</v>
      </c>
      <c r="GT48" s="1">
        <v>3719735.5</v>
      </c>
      <c r="GU48" s="1">
        <v>5.40482515490684E-2</v>
      </c>
      <c r="GV48" s="1"/>
      <c r="GW48" s="22">
        <v>2247</v>
      </c>
      <c r="GX48" s="1" t="s">
        <v>61</v>
      </c>
      <c r="GY48" s="1">
        <v>2017</v>
      </c>
      <c r="GZ48" s="1" t="s">
        <v>64</v>
      </c>
      <c r="HA48" s="1">
        <v>2677866.6</v>
      </c>
      <c r="HB48" s="1">
        <v>44107004.100000001</v>
      </c>
      <c r="HC48" s="1">
        <v>6.0712956017794903E-2</v>
      </c>
      <c r="HD48" s="1"/>
      <c r="HE48" s="22">
        <v>3443</v>
      </c>
      <c r="HF48" s="1" t="s">
        <v>44</v>
      </c>
      <c r="HG48" s="1">
        <v>2017</v>
      </c>
      <c r="HH48" s="1" t="s">
        <v>64</v>
      </c>
      <c r="HI48" s="1">
        <v>203729.1</v>
      </c>
      <c r="HJ48" s="1">
        <v>5855367.5</v>
      </c>
      <c r="HK48" s="1">
        <v>3.4793563341668901E-2</v>
      </c>
      <c r="HL48" s="1"/>
      <c r="HM48" s="22">
        <v>4639</v>
      </c>
      <c r="HN48" s="1" t="s">
        <v>38</v>
      </c>
      <c r="HO48" s="1">
        <v>2017</v>
      </c>
      <c r="HP48" s="1" t="s">
        <v>64</v>
      </c>
      <c r="HQ48" s="1">
        <v>248870</v>
      </c>
      <c r="HR48" s="1">
        <v>5923445.7000000002</v>
      </c>
      <c r="HS48" s="1">
        <v>4.2014397126996499E-2</v>
      </c>
      <c r="HT48" s="1"/>
      <c r="HU48" s="22">
        <v>5835</v>
      </c>
      <c r="HV48" s="1" t="s">
        <v>31</v>
      </c>
      <c r="HW48" s="1">
        <v>2017</v>
      </c>
      <c r="HX48" s="1" t="s">
        <v>64</v>
      </c>
      <c r="HY48" s="1">
        <v>317554</v>
      </c>
      <c r="HZ48" s="1">
        <v>8686095.3000000007</v>
      </c>
      <c r="IA48" s="1">
        <v>3.6558889700415702E-2</v>
      </c>
      <c r="IB48" s="1"/>
      <c r="IC48" s="22">
        <v>7031</v>
      </c>
      <c r="ID48" s="1" t="s">
        <v>51</v>
      </c>
      <c r="IE48" s="1">
        <v>2017</v>
      </c>
      <c r="IF48" s="1" t="s">
        <v>64</v>
      </c>
      <c r="IG48" s="1">
        <v>165719.79999999999</v>
      </c>
      <c r="IH48" s="1">
        <v>4472691.8</v>
      </c>
      <c r="II48" s="1">
        <v>3.7051468648029801E-2</v>
      </c>
      <c r="IJ48" s="1"/>
      <c r="IK48" s="22">
        <v>8227</v>
      </c>
      <c r="IL48" s="1" t="s">
        <v>57</v>
      </c>
      <c r="IM48" s="1">
        <v>2017</v>
      </c>
      <c r="IN48" s="1" t="s">
        <v>64</v>
      </c>
      <c r="IO48" s="1">
        <v>327830.59999999998</v>
      </c>
      <c r="IP48" s="1">
        <v>10750260.5</v>
      </c>
      <c r="IQ48" s="1">
        <v>3.0495130792411899E-2</v>
      </c>
      <c r="IR48" s="1"/>
      <c r="IS48" s="22">
        <v>1097</v>
      </c>
      <c r="IT48" s="1" t="s">
        <v>17</v>
      </c>
      <c r="IU48" s="1">
        <v>2018</v>
      </c>
      <c r="IV48" s="1" t="s">
        <v>64</v>
      </c>
      <c r="IW48" s="1">
        <v>211106.3</v>
      </c>
      <c r="IX48" s="1">
        <v>3904165.4</v>
      </c>
      <c r="IY48" s="1">
        <v>5.4072068770446999E-2</v>
      </c>
      <c r="IZ48" s="1"/>
      <c r="JA48" s="22">
        <v>2293</v>
      </c>
      <c r="JB48" s="1" t="s">
        <v>61</v>
      </c>
      <c r="JC48" s="1">
        <v>2018</v>
      </c>
      <c r="JD48" s="1" t="s">
        <v>64</v>
      </c>
      <c r="JE48" s="1">
        <v>2816964.6</v>
      </c>
      <c r="JF48" s="1">
        <v>46669099.200000003</v>
      </c>
      <c r="JG48" s="1">
        <v>6.0360380814892603E-2</v>
      </c>
      <c r="JH48" s="1"/>
      <c r="JI48" s="22">
        <v>3489</v>
      </c>
      <c r="JJ48" s="1" t="s">
        <v>44</v>
      </c>
      <c r="JK48" s="1">
        <v>2018</v>
      </c>
      <c r="JL48" s="1" t="s">
        <v>64</v>
      </c>
      <c r="JM48" s="1">
        <v>217842.4</v>
      </c>
      <c r="JN48" s="1">
        <v>6336724.7000000002</v>
      </c>
      <c r="JO48" s="1">
        <v>3.4377759854392897E-2</v>
      </c>
      <c r="JP48" s="1"/>
      <c r="JQ48" s="22">
        <v>4685</v>
      </c>
      <c r="JR48" s="1" t="s">
        <v>38</v>
      </c>
      <c r="JS48" s="1">
        <v>2018</v>
      </c>
      <c r="JT48" s="1" t="s">
        <v>64</v>
      </c>
      <c r="JU48" s="1">
        <v>264691.59999999998</v>
      </c>
      <c r="JV48" s="1">
        <v>6390706</v>
      </c>
      <c r="JW48" s="1">
        <v>4.1418209506117097E-2</v>
      </c>
      <c r="JX48" s="1"/>
      <c r="JY48" s="22">
        <v>5881</v>
      </c>
      <c r="JZ48" s="1" t="s">
        <v>31</v>
      </c>
      <c r="KA48" s="1">
        <v>2018</v>
      </c>
      <c r="KB48" s="1" t="s">
        <v>64</v>
      </c>
      <c r="KC48" s="1">
        <v>345813.4</v>
      </c>
      <c r="KD48" s="1">
        <v>9443218.3000000007</v>
      </c>
      <c r="KE48" s="1">
        <v>3.6620290775232801E-2</v>
      </c>
      <c r="KF48" s="1"/>
      <c r="KG48" s="22">
        <v>7077</v>
      </c>
      <c r="KH48" s="1" t="s">
        <v>51</v>
      </c>
      <c r="KI48" s="1">
        <v>2018</v>
      </c>
      <c r="KJ48" s="1" t="s">
        <v>64</v>
      </c>
      <c r="KK48" s="1">
        <v>177134</v>
      </c>
      <c r="KL48" s="1">
        <v>4803387.8</v>
      </c>
      <c r="KM48" s="1">
        <v>3.6876889265530399E-2</v>
      </c>
      <c r="KN48" s="1"/>
      <c r="KO48" s="22">
        <v>8273</v>
      </c>
      <c r="KP48" s="1" t="s">
        <v>57</v>
      </c>
      <c r="KQ48" s="1">
        <v>2018</v>
      </c>
      <c r="KR48" s="1" t="s">
        <v>64</v>
      </c>
      <c r="KS48" s="1">
        <v>337909.9</v>
      </c>
      <c r="KT48" s="1">
        <v>11172914.4</v>
      </c>
      <c r="KU48" s="1">
        <v>3.0243666773281601E-2</v>
      </c>
      <c r="KV48" s="1"/>
      <c r="KW48" s="22">
        <v>1143</v>
      </c>
      <c r="KX48" s="1" t="s">
        <v>17</v>
      </c>
      <c r="KY48" s="1">
        <v>2019</v>
      </c>
      <c r="KZ48" s="1" t="s">
        <v>64</v>
      </c>
      <c r="LA48" s="1">
        <v>212945.2</v>
      </c>
      <c r="LB48" s="1">
        <v>3955328</v>
      </c>
      <c r="LC48" s="1">
        <v>5.3837557846024398E-2</v>
      </c>
      <c r="LD48" s="1"/>
      <c r="LE48" s="22">
        <v>2339</v>
      </c>
      <c r="LF48" s="1" t="s">
        <v>61</v>
      </c>
      <c r="LG48" s="1">
        <v>2019</v>
      </c>
      <c r="LH48" s="1" t="s">
        <v>64</v>
      </c>
      <c r="LI48" s="1">
        <v>2940741.1</v>
      </c>
      <c r="LJ48" s="1">
        <v>48356774.5</v>
      </c>
      <c r="LK48" s="1">
        <v>6.0813425428116498E-2</v>
      </c>
      <c r="LL48" s="1"/>
      <c r="LM48" s="22">
        <v>3535</v>
      </c>
      <c r="LN48" s="1" t="s">
        <v>44</v>
      </c>
      <c r="LO48" s="1">
        <v>2019</v>
      </c>
      <c r="LP48" s="1" t="s">
        <v>64</v>
      </c>
      <c r="LQ48" s="1">
        <v>218663.4</v>
      </c>
      <c r="LR48" s="1">
        <v>6269787.0999999996</v>
      </c>
      <c r="LS48" s="1">
        <v>3.4875729671905401E-2</v>
      </c>
      <c r="LT48" s="1"/>
      <c r="LU48" s="22">
        <v>4731</v>
      </c>
      <c r="LV48" s="1" t="s">
        <v>38</v>
      </c>
      <c r="LW48" s="1">
        <v>2019</v>
      </c>
      <c r="LX48" s="1" t="s">
        <v>64</v>
      </c>
      <c r="LY48" s="1">
        <v>253229.4</v>
      </c>
      <c r="LZ48" s="1">
        <v>6182094.5</v>
      </c>
      <c r="MA48" s="1">
        <v>4.0961748481845403E-2</v>
      </c>
      <c r="MB48" s="1"/>
      <c r="MC48" s="22">
        <v>5927</v>
      </c>
      <c r="MD48" s="1" t="s">
        <v>31</v>
      </c>
      <c r="ME48" s="1">
        <v>2019</v>
      </c>
      <c r="MF48" s="1" t="s">
        <v>64</v>
      </c>
      <c r="MG48" s="1">
        <v>347055.4</v>
      </c>
      <c r="MH48" s="1">
        <v>9237079</v>
      </c>
      <c r="MI48" s="1">
        <v>3.7571985689415402E-2</v>
      </c>
      <c r="MJ48" s="1"/>
      <c r="MK48" s="22">
        <v>7123</v>
      </c>
      <c r="ML48" s="1" t="s">
        <v>51</v>
      </c>
      <c r="MM48" s="1">
        <v>2019</v>
      </c>
      <c r="MN48" s="1" t="s">
        <v>64</v>
      </c>
      <c r="MO48" s="1">
        <v>167171.29999999999</v>
      </c>
      <c r="MP48" s="1">
        <v>4608662</v>
      </c>
      <c r="MQ48" s="1">
        <v>3.6273282787932799E-2</v>
      </c>
      <c r="MR48" s="1"/>
      <c r="MS48" s="22">
        <v>8319</v>
      </c>
      <c r="MT48" s="1" t="s">
        <v>57</v>
      </c>
      <c r="MU48" s="1">
        <v>2019</v>
      </c>
      <c r="MV48" s="1" t="s">
        <v>64</v>
      </c>
      <c r="MW48" s="1">
        <v>350257.5</v>
      </c>
      <c r="MX48" s="1">
        <v>11338077</v>
      </c>
      <c r="MY48" s="1">
        <v>3.0892143350234699E-2</v>
      </c>
      <c r="MZ48" s="1"/>
      <c r="NA48" s="22">
        <v>1189</v>
      </c>
      <c r="NB48" s="1" t="s">
        <v>17</v>
      </c>
      <c r="NC48" s="1">
        <v>2020</v>
      </c>
      <c r="ND48" s="1" t="s">
        <v>64</v>
      </c>
      <c r="NE48" s="1">
        <v>219035.4</v>
      </c>
      <c r="NF48" s="1">
        <v>3784752.3</v>
      </c>
      <c r="NG48" s="1">
        <v>5.7873113651321299E-2</v>
      </c>
      <c r="NH48" s="1"/>
      <c r="NI48" s="22">
        <v>2385</v>
      </c>
      <c r="NJ48" s="1" t="s">
        <v>61</v>
      </c>
      <c r="NK48" s="1">
        <v>2020</v>
      </c>
      <c r="NL48" s="1" t="s">
        <v>64</v>
      </c>
      <c r="NM48" s="1">
        <v>3009160.3</v>
      </c>
      <c r="NN48" s="1">
        <v>47421769.399999999</v>
      </c>
      <c r="NO48" s="1">
        <v>6.3455251418771397E-2</v>
      </c>
      <c r="NP48" s="1"/>
      <c r="NQ48" s="22">
        <v>3581</v>
      </c>
      <c r="NR48" s="1" t="s">
        <v>44</v>
      </c>
      <c r="NS48" s="1">
        <v>2020</v>
      </c>
      <c r="NT48" s="1" t="s">
        <v>64</v>
      </c>
      <c r="NU48" s="1">
        <v>225570.4</v>
      </c>
      <c r="NV48" s="1">
        <v>5955345.3666666672</v>
      </c>
      <c r="NW48" s="1">
        <v>3.7876963653957901E-2</v>
      </c>
      <c r="NX48" s="1"/>
      <c r="NY48" s="22">
        <v>4777</v>
      </c>
      <c r="NZ48" s="1" t="s">
        <v>38</v>
      </c>
      <c r="OA48" s="1">
        <v>2020</v>
      </c>
      <c r="OB48" s="1" t="s">
        <v>64</v>
      </c>
      <c r="OC48" s="1">
        <v>267149.3</v>
      </c>
      <c r="OD48" s="1">
        <v>5990228.4000000004</v>
      </c>
      <c r="OE48" s="1">
        <v>4.4597514846011502E-2</v>
      </c>
      <c r="OF48" s="1"/>
      <c r="OG48" s="22">
        <v>5973</v>
      </c>
      <c r="OH48" s="1" t="s">
        <v>31</v>
      </c>
      <c r="OI48" s="1">
        <v>2020</v>
      </c>
      <c r="OJ48" s="1" t="s">
        <v>64</v>
      </c>
      <c r="OK48" s="1">
        <v>378823.5</v>
      </c>
      <c r="OL48" s="1">
        <v>9257180.0999999996</v>
      </c>
      <c r="OM48" s="1">
        <v>4.0922127030886997E-2</v>
      </c>
      <c r="ON48" s="1"/>
      <c r="OO48" s="22">
        <v>7169</v>
      </c>
      <c r="OP48" s="1" t="s">
        <v>51</v>
      </c>
      <c r="OQ48" s="1">
        <v>2020</v>
      </c>
      <c r="OR48" s="1" t="s">
        <v>64</v>
      </c>
      <c r="OS48" s="1">
        <v>170237.2</v>
      </c>
      <c r="OT48" s="1">
        <v>4352046.4000000004</v>
      </c>
      <c r="OU48" s="1">
        <v>3.91165866246279E-2</v>
      </c>
      <c r="OV48" s="1"/>
      <c r="OW48" s="22">
        <v>8365</v>
      </c>
      <c r="OX48" s="1" t="s">
        <v>57</v>
      </c>
      <c r="OY48" s="1">
        <v>2020</v>
      </c>
      <c r="OZ48" s="1" t="s">
        <v>64</v>
      </c>
      <c r="PA48" s="1">
        <v>378702</v>
      </c>
      <c r="PB48" s="1">
        <v>11082248.733333331</v>
      </c>
      <c r="PC48" s="1">
        <v>3.4171945524100598E-2</v>
      </c>
      <c r="PD48" s="1"/>
      <c r="PE48" s="22">
        <v>8411</v>
      </c>
      <c r="PF48" s="1" t="s">
        <v>17</v>
      </c>
      <c r="PG48" s="1">
        <v>2021</v>
      </c>
      <c r="PH48" s="1" t="s">
        <v>64</v>
      </c>
      <c r="PI48" s="1">
        <v>267547.35954532243</v>
      </c>
      <c r="PJ48" s="1">
        <v>4622999.2247741111</v>
      </c>
      <c r="PK48" s="1">
        <v>5.7873113651321299E-2</v>
      </c>
      <c r="PL48" s="1"/>
      <c r="PM48" s="22">
        <v>9331</v>
      </c>
      <c r="PN48" s="1" t="s">
        <v>61</v>
      </c>
      <c r="PO48" s="1">
        <v>2021</v>
      </c>
      <c r="PP48" s="1" t="s">
        <v>64</v>
      </c>
      <c r="PQ48" s="1">
        <v>3337088.7509358861</v>
      </c>
      <c r="PR48" s="1">
        <v>52589638.782026872</v>
      </c>
      <c r="PS48" s="1">
        <v>6.3455251418771397E-2</v>
      </c>
      <c r="PT48" s="1"/>
      <c r="PU48" s="22">
        <v>10251</v>
      </c>
      <c r="PV48" s="1" t="s">
        <v>44</v>
      </c>
      <c r="PW48" s="1">
        <v>2021</v>
      </c>
      <c r="PX48" s="1" t="s">
        <v>64</v>
      </c>
      <c r="PY48" s="1">
        <v>262920.9463612159</v>
      </c>
      <c r="PZ48" s="1">
        <v>6941447.2808129201</v>
      </c>
      <c r="QA48" s="1">
        <v>3.7876963653957901E-2</v>
      </c>
      <c r="QB48" s="1"/>
      <c r="QC48" s="22">
        <v>11171</v>
      </c>
      <c r="QD48" s="1" t="s">
        <v>38</v>
      </c>
      <c r="QE48" s="1">
        <v>2021</v>
      </c>
      <c r="QF48" s="1" t="s">
        <v>64</v>
      </c>
      <c r="QG48" s="1">
        <v>299282.72197490092</v>
      </c>
      <c r="QH48" s="1">
        <v>6710748.8614170318</v>
      </c>
      <c r="QI48" s="1">
        <v>4.4597514846011502E-2</v>
      </c>
      <c r="QJ48" s="1"/>
      <c r="QK48" s="22">
        <v>12091</v>
      </c>
      <c r="QL48" s="1" t="s">
        <v>31</v>
      </c>
      <c r="QM48" s="1">
        <v>2021</v>
      </c>
      <c r="QN48" s="1" t="s">
        <v>64</v>
      </c>
      <c r="QO48" s="1">
        <v>418065.91264523508</v>
      </c>
      <c r="QP48" s="1">
        <v>10216133.49495957</v>
      </c>
      <c r="QQ48" s="1">
        <v>4.0922127030886997E-2</v>
      </c>
      <c r="QR48" s="1"/>
      <c r="QS48" s="22">
        <v>13011</v>
      </c>
      <c r="QT48" s="1" t="s">
        <v>51</v>
      </c>
      <c r="QU48" s="1">
        <v>2021</v>
      </c>
      <c r="QV48" s="1" t="s">
        <v>64</v>
      </c>
      <c r="QW48" s="1">
        <v>194488.33466772921</v>
      </c>
      <c r="QX48" s="1">
        <v>4972017.0252605537</v>
      </c>
      <c r="QY48" s="1">
        <v>3.91165866246279E-2</v>
      </c>
      <c r="QZ48" s="1"/>
      <c r="RA48" s="22">
        <v>13931</v>
      </c>
      <c r="RB48" s="1" t="s">
        <v>57</v>
      </c>
      <c r="RC48" s="1">
        <v>2021</v>
      </c>
      <c r="RD48" s="1" t="s">
        <v>64</v>
      </c>
      <c r="RE48" s="1">
        <v>377584.04282093397</v>
      </c>
      <c r="RF48" s="1">
        <v>11049533.09007922</v>
      </c>
      <c r="RG48" s="1">
        <v>3.4171945524100598E-2</v>
      </c>
      <c r="RH48" s="1"/>
      <c r="RI48" s="22">
        <v>8457</v>
      </c>
      <c r="RJ48" s="1" t="s">
        <v>17</v>
      </c>
      <c r="RK48" s="1">
        <v>2022</v>
      </c>
      <c r="RL48" s="1" t="s">
        <v>64</v>
      </c>
      <c r="RM48" s="1">
        <v>289776.60569312872</v>
      </c>
      <c r="RN48" s="1">
        <v>5007102.3902221443</v>
      </c>
      <c r="RO48" s="1">
        <v>5.7873113651321299E-2</v>
      </c>
      <c r="RP48" s="1"/>
      <c r="RQ48" s="22">
        <v>9377</v>
      </c>
      <c r="RR48" s="1" t="s">
        <v>61</v>
      </c>
      <c r="RS48" s="1">
        <v>2022</v>
      </c>
      <c r="RT48" s="1" t="s">
        <v>64</v>
      </c>
      <c r="RU48" s="1">
        <v>3664819.9177708258</v>
      </c>
      <c r="RV48" s="1">
        <v>57754399.13688051</v>
      </c>
      <c r="RW48" s="1">
        <v>6.3455251418771397E-2</v>
      </c>
      <c r="RX48" s="1"/>
      <c r="RY48" s="22">
        <v>10297</v>
      </c>
      <c r="RZ48" s="1" t="s">
        <v>44</v>
      </c>
      <c r="SA48" s="1">
        <v>2022</v>
      </c>
      <c r="SB48" s="1" t="s">
        <v>64</v>
      </c>
      <c r="SC48" s="1">
        <v>260471.83990388529</v>
      </c>
      <c r="SD48" s="1">
        <v>6876787.7563667288</v>
      </c>
      <c r="SE48" s="1">
        <v>3.7876963653957901E-2</v>
      </c>
      <c r="SF48" s="1"/>
      <c r="SG48" s="22">
        <v>11217</v>
      </c>
      <c r="SH48" s="1" t="s">
        <v>38</v>
      </c>
      <c r="SI48" s="1">
        <v>2022</v>
      </c>
      <c r="SJ48" s="1" t="s">
        <v>64</v>
      </c>
      <c r="SK48" s="1">
        <v>282118.32925719308</v>
      </c>
      <c r="SL48" s="1">
        <v>6325875.5612572851</v>
      </c>
      <c r="SM48" s="1">
        <v>4.4597514846011502E-2</v>
      </c>
      <c r="SN48" s="1"/>
      <c r="SO48" s="22">
        <v>12137</v>
      </c>
      <c r="SP48" s="1" t="s">
        <v>31</v>
      </c>
      <c r="SQ48" s="1">
        <v>2022</v>
      </c>
      <c r="SR48" s="1" t="s">
        <v>64</v>
      </c>
      <c r="SS48" s="1">
        <v>400307.9902236968</v>
      </c>
      <c r="ST48" s="1">
        <v>9782189.227885304</v>
      </c>
      <c r="SU48" s="1">
        <v>4.0922127030886997E-2</v>
      </c>
      <c r="SV48" s="1"/>
      <c r="SW48" s="22">
        <v>13057</v>
      </c>
      <c r="SX48" s="1" t="s">
        <v>51</v>
      </c>
      <c r="SY48" s="1">
        <v>2022</v>
      </c>
      <c r="SZ48" s="1" t="s">
        <v>64</v>
      </c>
      <c r="TA48" s="1">
        <v>187782.30199215721</v>
      </c>
      <c r="TB48" s="1">
        <v>4800579.963537232</v>
      </c>
      <c r="TC48" s="1">
        <v>3.91165866246279E-2</v>
      </c>
      <c r="TD48" s="1"/>
      <c r="TE48" s="22">
        <v>13977</v>
      </c>
      <c r="TF48" s="1" t="s">
        <v>57</v>
      </c>
      <c r="TG48" s="1">
        <v>2022</v>
      </c>
      <c r="TH48" s="1" t="s">
        <v>64</v>
      </c>
      <c r="TI48" s="1">
        <v>319386.5789195635</v>
      </c>
      <c r="TJ48" s="1">
        <v>9346455.8140041605</v>
      </c>
      <c r="TK48" s="1">
        <v>3.4171945524100598E-2</v>
      </c>
      <c r="TL48" s="1"/>
      <c r="TM48" s="22">
        <v>8503</v>
      </c>
      <c r="TN48" s="1" t="s">
        <v>17</v>
      </c>
      <c r="TO48" s="1">
        <v>2023</v>
      </c>
      <c r="TP48" s="1" t="s">
        <v>64</v>
      </c>
      <c r="TQ48" s="1">
        <v>287518.35876256239</v>
      </c>
      <c r="TR48" s="1">
        <v>4968081.7329930915</v>
      </c>
      <c r="TS48" s="1">
        <v>5.7873113651321299E-2</v>
      </c>
      <c r="TT48" s="1"/>
      <c r="TU48" s="22">
        <v>9423</v>
      </c>
      <c r="TV48" s="1" t="s">
        <v>61</v>
      </c>
      <c r="TW48" s="1">
        <v>2023</v>
      </c>
      <c r="TX48" s="1" t="s">
        <v>64</v>
      </c>
      <c r="TY48" s="1">
        <v>3906323.840771093</v>
      </c>
      <c r="TZ48" s="1">
        <v>61560292.543660469</v>
      </c>
      <c r="UA48" s="1">
        <v>6.3455251418771397E-2</v>
      </c>
      <c r="UB48" s="1"/>
      <c r="UC48" s="22">
        <v>10343</v>
      </c>
      <c r="UD48" s="1" t="s">
        <v>44</v>
      </c>
      <c r="UE48" s="1">
        <v>2023</v>
      </c>
      <c r="UF48" s="1" t="s">
        <v>64</v>
      </c>
      <c r="UG48" s="1">
        <v>281869.73655396432</v>
      </c>
      <c r="UH48" s="1">
        <v>7441719.4347760417</v>
      </c>
      <c r="UI48" s="1">
        <v>3.7876963653957901E-2</v>
      </c>
      <c r="UJ48" s="1"/>
      <c r="UK48" s="22">
        <v>11263</v>
      </c>
      <c r="UL48" s="1" t="s">
        <v>38</v>
      </c>
      <c r="UM48" s="1">
        <v>2023</v>
      </c>
      <c r="UN48" s="1" t="s">
        <v>64</v>
      </c>
      <c r="UO48" s="1">
        <v>307898.71643850068</v>
      </c>
      <c r="UP48" s="1">
        <v>6903943.3587640161</v>
      </c>
      <c r="UQ48" s="1">
        <v>4.4597514846011502E-2</v>
      </c>
      <c r="UR48" s="1"/>
      <c r="US48" s="22">
        <v>12183</v>
      </c>
      <c r="UT48" s="1" t="s">
        <v>31</v>
      </c>
      <c r="UU48" s="1">
        <v>2023</v>
      </c>
      <c r="UV48" s="1" t="s">
        <v>64</v>
      </c>
      <c r="UW48" s="1">
        <v>435121.97890176403</v>
      </c>
      <c r="UX48" s="1">
        <v>10632926.743356841</v>
      </c>
      <c r="UY48" s="1">
        <v>4.0922127030886997E-2</v>
      </c>
      <c r="UZ48" s="1"/>
      <c r="VA48" s="22">
        <v>13103</v>
      </c>
      <c r="VB48" s="1" t="s">
        <v>51</v>
      </c>
      <c r="VC48" s="1">
        <v>2023</v>
      </c>
      <c r="VD48" s="1" t="s">
        <v>64</v>
      </c>
      <c r="VE48" s="1">
        <v>205679.9303227294</v>
      </c>
      <c r="VF48" s="1">
        <v>5258125.7228930313</v>
      </c>
      <c r="VG48" s="1">
        <v>3.91165866246279E-2</v>
      </c>
      <c r="VH48" s="1"/>
      <c r="VI48" s="22">
        <v>14023</v>
      </c>
      <c r="VJ48" s="1" t="s">
        <v>57</v>
      </c>
      <c r="VK48" s="1">
        <v>2023</v>
      </c>
      <c r="VL48" s="1" t="s">
        <v>64</v>
      </c>
      <c r="VM48" s="1">
        <v>315693.2740029319</v>
      </c>
      <c r="VN48" s="1">
        <v>9238375.7834414635</v>
      </c>
      <c r="VO48" s="1">
        <v>3.4171945524100598E-2</v>
      </c>
      <c r="VP48" s="1"/>
      <c r="VQ48" s="22">
        <v>8549</v>
      </c>
      <c r="VR48" s="1" t="s">
        <v>17</v>
      </c>
      <c r="VS48" s="1">
        <v>2024</v>
      </c>
      <c r="VT48" s="1" t="s">
        <v>64</v>
      </c>
      <c r="VU48" s="1">
        <v>296502.39795733441</v>
      </c>
      <c r="VV48" s="1">
        <v>5123318.5714479852</v>
      </c>
      <c r="VW48" s="1">
        <v>5.7873113651321299E-2</v>
      </c>
      <c r="VX48" s="1"/>
      <c r="VY48" s="22">
        <v>9469</v>
      </c>
      <c r="VZ48" s="1" t="s">
        <v>61</v>
      </c>
      <c r="WA48" s="1">
        <v>2024</v>
      </c>
      <c r="WB48" s="1" t="s">
        <v>64</v>
      </c>
      <c r="WC48" s="1">
        <v>4112654.8269170788</v>
      </c>
      <c r="WD48" s="1">
        <v>64811890.820126347</v>
      </c>
      <c r="WE48" s="1">
        <v>6.3455251418771397E-2</v>
      </c>
      <c r="WF48" s="1"/>
      <c r="WG48" s="22">
        <v>10389</v>
      </c>
      <c r="WH48" s="1" t="s">
        <v>44</v>
      </c>
      <c r="WI48" s="1">
        <v>2024</v>
      </c>
      <c r="WJ48" s="1" t="s">
        <v>64</v>
      </c>
      <c r="WK48" s="1">
        <v>304785.77808794181</v>
      </c>
      <c r="WL48" s="1">
        <v>8046732.0684004631</v>
      </c>
      <c r="WM48" s="1">
        <v>3.7876963653957901E-2</v>
      </c>
      <c r="WN48" s="1"/>
      <c r="WO48" s="22">
        <v>11309</v>
      </c>
      <c r="WP48" s="1" t="s">
        <v>38</v>
      </c>
      <c r="WQ48" s="1">
        <v>2024</v>
      </c>
      <c r="WR48" s="1" t="s">
        <v>64</v>
      </c>
      <c r="WS48" s="1">
        <v>319021.82404519728</v>
      </c>
      <c r="WT48" s="1">
        <v>7153354.2877160665</v>
      </c>
      <c r="WU48" s="1">
        <v>4.4597514846011502E-2</v>
      </c>
      <c r="WV48" s="1"/>
      <c r="WW48" s="22">
        <v>12229</v>
      </c>
      <c r="WX48" s="1" t="s">
        <v>31</v>
      </c>
      <c r="WY48" s="1">
        <v>2024</v>
      </c>
      <c r="WZ48" s="1" t="s">
        <v>64</v>
      </c>
      <c r="XA48" s="1">
        <v>448027.47931672382</v>
      </c>
      <c r="XB48" s="1">
        <v>10948294.03609846</v>
      </c>
      <c r="XC48" s="1">
        <v>4.0922127030886997E-2</v>
      </c>
      <c r="XD48" s="1"/>
      <c r="XE48" s="22">
        <v>13149</v>
      </c>
      <c r="XF48" s="1" t="s">
        <v>51</v>
      </c>
      <c r="XG48" s="1">
        <v>2024</v>
      </c>
      <c r="XH48" s="1" t="s">
        <v>64</v>
      </c>
      <c r="XI48" s="1">
        <v>211763.01772181099</v>
      </c>
      <c r="XJ48" s="1">
        <v>5413637.436055948</v>
      </c>
      <c r="XK48" s="1">
        <v>3.91165866246279E-2</v>
      </c>
      <c r="XL48" s="1"/>
      <c r="XM48" s="22">
        <v>14069</v>
      </c>
      <c r="XN48" s="1" t="s">
        <v>57</v>
      </c>
      <c r="XO48" s="1">
        <v>2024</v>
      </c>
      <c r="XP48" s="1" t="s">
        <v>64</v>
      </c>
      <c r="XQ48" s="1">
        <v>301684.3414159278</v>
      </c>
      <c r="XR48" s="1">
        <v>8828421.583522588</v>
      </c>
      <c r="XS48" s="1">
        <v>3.4171945524100598E-2</v>
      </c>
      <c r="XT48" s="1"/>
    </row>
    <row r="49" spans="1:644" x14ac:dyDescent="0.25">
      <c r="A49" s="2">
        <v>40</v>
      </c>
      <c r="B49" s="1" t="s">
        <v>17</v>
      </c>
      <c r="C49" s="1" t="s">
        <v>64</v>
      </c>
      <c r="D49" s="1">
        <v>5.18423979400695E-2</v>
      </c>
      <c r="E49" s="1">
        <v>5.2803132191536643E-2</v>
      </c>
      <c r="F49" s="1">
        <v>5.3712024027207893E-2</v>
      </c>
      <c r="G49" s="1">
        <v>5.4048251549068477E-2</v>
      </c>
      <c r="H49" s="1">
        <v>5.4072068770447061E-2</v>
      </c>
      <c r="I49" s="1">
        <v>5.3837557846024398E-2</v>
      </c>
      <c r="J49" s="1">
        <v>5.7873113651321383E-2</v>
      </c>
      <c r="K49" s="1">
        <v>5.7873113651321417E-2</v>
      </c>
      <c r="L49" s="1">
        <v>5.787311365132141E-2</v>
      </c>
      <c r="M49" s="1">
        <v>5.7873113651321417E-2</v>
      </c>
      <c r="N49" s="1">
        <v>5.7873113651321431E-2</v>
      </c>
      <c r="O49" s="1">
        <v>5.5425545507360091E-2</v>
      </c>
      <c r="P49" s="1"/>
      <c r="Q49" s="2">
        <v>311</v>
      </c>
      <c r="R49" s="1" t="s">
        <v>61</v>
      </c>
      <c r="S49" s="1" t="s">
        <v>27</v>
      </c>
      <c r="T49" s="1">
        <v>1.943243480362674E-2</v>
      </c>
      <c r="U49" s="1"/>
      <c r="AC49" s="22">
        <v>914</v>
      </c>
      <c r="AD49" s="1" t="s">
        <v>17</v>
      </c>
      <c r="AE49" s="1">
        <v>2014</v>
      </c>
      <c r="AF49" s="1" t="s">
        <v>65</v>
      </c>
      <c r="AG49" s="1">
        <v>113434.9</v>
      </c>
      <c r="AH49" s="1">
        <v>4088215.6</v>
      </c>
      <c r="AI49" s="1">
        <v>2.7746799850771001E-2</v>
      </c>
      <c r="AJ49" s="1"/>
      <c r="AK49" s="22">
        <v>2110</v>
      </c>
      <c r="AL49" s="1" t="s">
        <v>61</v>
      </c>
      <c r="AM49" s="1">
        <v>2014</v>
      </c>
      <c r="AN49" s="1" t="s">
        <v>65</v>
      </c>
      <c r="AO49" s="1">
        <v>1274896.8999999999</v>
      </c>
      <c r="AP49" s="1">
        <v>40350049.200000003</v>
      </c>
      <c r="AQ49" s="1">
        <v>3.1595919342769903E-2</v>
      </c>
      <c r="AR49" s="1"/>
      <c r="AS49" s="22">
        <v>3306</v>
      </c>
      <c r="AT49" s="1" t="s">
        <v>44</v>
      </c>
      <c r="AU49" s="1">
        <v>2014</v>
      </c>
      <c r="AV49" s="1" t="s">
        <v>65</v>
      </c>
      <c r="AW49" s="1">
        <v>242921.8</v>
      </c>
      <c r="AX49" s="1">
        <v>6735816.8000000007</v>
      </c>
      <c r="AY49" s="1">
        <v>3.6064193432339103E-2</v>
      </c>
      <c r="AZ49" s="1"/>
      <c r="BA49" s="22">
        <v>4502</v>
      </c>
      <c r="BB49" s="1" t="s">
        <v>38</v>
      </c>
      <c r="BC49" s="1">
        <v>2014</v>
      </c>
      <c r="BD49" s="1" t="s">
        <v>65</v>
      </c>
      <c r="BE49" s="1">
        <v>169515.2</v>
      </c>
      <c r="BF49" s="1">
        <v>6538596.7000000002</v>
      </c>
      <c r="BG49" s="1">
        <v>2.59253181955693E-2</v>
      </c>
      <c r="BH49" s="1"/>
      <c r="BI49" s="22">
        <v>5698</v>
      </c>
      <c r="BJ49" s="1" t="s">
        <v>31</v>
      </c>
      <c r="BK49" s="1">
        <v>2014</v>
      </c>
      <c r="BL49" s="1" t="s">
        <v>65</v>
      </c>
      <c r="BM49" s="1">
        <v>205412.2</v>
      </c>
      <c r="BN49" s="1">
        <v>9155477.5</v>
      </c>
      <c r="BO49" s="1">
        <v>2.24359898213938E-2</v>
      </c>
      <c r="BP49" s="1"/>
      <c r="BQ49" s="22">
        <v>6894</v>
      </c>
      <c r="BR49" s="1" t="s">
        <v>51</v>
      </c>
      <c r="BS49" s="1">
        <v>2014</v>
      </c>
      <c r="BT49" s="1" t="s">
        <v>65</v>
      </c>
      <c r="BU49" s="1">
        <v>100533.8</v>
      </c>
      <c r="BV49" s="1">
        <v>4981875.5</v>
      </c>
      <c r="BW49" s="1">
        <v>2.0179910156325601E-2</v>
      </c>
      <c r="BX49" s="1"/>
      <c r="BY49" s="22">
        <v>8090</v>
      </c>
      <c r="BZ49" s="1" t="s">
        <v>57</v>
      </c>
      <c r="CA49" s="1">
        <v>2014</v>
      </c>
      <c r="CB49" s="1" t="s">
        <v>65</v>
      </c>
      <c r="CC49" s="1">
        <v>199589.6</v>
      </c>
      <c r="CD49" s="1">
        <v>11026913.800000001</v>
      </c>
      <c r="CE49" s="1">
        <v>1.8100223110477199E-2</v>
      </c>
      <c r="CF49" s="1"/>
      <c r="CG49" s="22">
        <v>960</v>
      </c>
      <c r="CH49" s="1" t="s">
        <v>17</v>
      </c>
      <c r="CI49" s="1">
        <v>2015</v>
      </c>
      <c r="CJ49" s="1" t="s">
        <v>65</v>
      </c>
      <c r="CK49" s="1">
        <v>101437.9</v>
      </c>
      <c r="CL49" s="1">
        <v>3555133.8</v>
      </c>
      <c r="CM49" s="1">
        <v>2.85327938993463E-2</v>
      </c>
      <c r="CN49" s="1"/>
      <c r="CO49" s="22">
        <v>2156</v>
      </c>
      <c r="CP49" s="1" t="s">
        <v>61</v>
      </c>
      <c r="CQ49" s="1">
        <v>2015</v>
      </c>
      <c r="CR49" s="1" t="s">
        <v>65</v>
      </c>
      <c r="CS49" s="1">
        <v>1313974.3999999999</v>
      </c>
      <c r="CT49" s="1">
        <v>41208556.399999999</v>
      </c>
      <c r="CU49" s="1">
        <v>3.1885960460386303E-2</v>
      </c>
      <c r="CV49" s="1"/>
      <c r="CW49" s="22">
        <v>3352</v>
      </c>
      <c r="CX49" s="1" t="s">
        <v>44</v>
      </c>
      <c r="CY49" s="1">
        <v>2015</v>
      </c>
      <c r="CZ49" s="1" t="s">
        <v>65</v>
      </c>
      <c r="DA49" s="1">
        <v>227228.79999999999</v>
      </c>
      <c r="DB49" s="1">
        <v>6404349.4000000004</v>
      </c>
      <c r="DC49" s="1">
        <v>3.5480387750237298E-2</v>
      </c>
      <c r="DD49" s="1"/>
      <c r="DE49" s="22">
        <v>4548</v>
      </c>
      <c r="DF49" s="1" t="s">
        <v>38</v>
      </c>
      <c r="DG49" s="1">
        <v>2015</v>
      </c>
      <c r="DH49" s="1" t="s">
        <v>65</v>
      </c>
      <c r="DI49" s="1">
        <v>143503.1</v>
      </c>
      <c r="DJ49" s="1">
        <v>5531517.5999999996</v>
      </c>
      <c r="DK49" s="1">
        <v>2.59428081725709E-2</v>
      </c>
      <c r="DL49" s="1"/>
      <c r="DM49" s="22">
        <v>5744</v>
      </c>
      <c r="DN49" s="1" t="s">
        <v>31</v>
      </c>
      <c r="DO49" s="1">
        <v>2015</v>
      </c>
      <c r="DP49" s="1" t="s">
        <v>65</v>
      </c>
      <c r="DQ49" s="1">
        <v>176243.9</v>
      </c>
      <c r="DR49" s="1">
        <v>7894528</v>
      </c>
      <c r="DS49" s="1">
        <v>2.2324817899182801E-2</v>
      </c>
      <c r="DT49" s="1"/>
      <c r="DU49" s="22">
        <v>6940</v>
      </c>
      <c r="DV49" s="1" t="s">
        <v>51</v>
      </c>
      <c r="DW49" s="1">
        <v>2015</v>
      </c>
      <c r="DX49" s="1" t="s">
        <v>65</v>
      </c>
      <c r="DY49" s="1">
        <v>83305.399999999994</v>
      </c>
      <c r="DZ49" s="1">
        <v>4209274.5999999996</v>
      </c>
      <c r="EA49" s="1">
        <v>1.9790915992983601E-2</v>
      </c>
      <c r="EB49" s="1"/>
      <c r="EC49" s="22">
        <v>8136</v>
      </c>
      <c r="ED49" s="1" t="s">
        <v>57</v>
      </c>
      <c r="EE49" s="1">
        <v>2015</v>
      </c>
      <c r="EF49" s="1" t="s">
        <v>65</v>
      </c>
      <c r="EG49" s="1">
        <v>174848.2</v>
      </c>
      <c r="EH49" s="1">
        <v>9729477.0999999996</v>
      </c>
      <c r="EI49" s="1">
        <v>1.79709760558458E-2</v>
      </c>
      <c r="EJ49" s="1"/>
      <c r="EK49" s="22">
        <v>1006</v>
      </c>
      <c r="EL49" s="1" t="s">
        <v>17</v>
      </c>
      <c r="EM49" s="1">
        <v>2016</v>
      </c>
      <c r="EN49" s="1" t="s">
        <v>65</v>
      </c>
      <c r="EO49" s="1">
        <v>101500.8</v>
      </c>
      <c r="EP49" s="1">
        <v>3463407</v>
      </c>
      <c r="EQ49" s="1">
        <v>2.9306633612509299E-2</v>
      </c>
      <c r="ER49" s="1"/>
      <c r="ES49" s="22">
        <v>2202</v>
      </c>
      <c r="ET49" s="1" t="s">
        <v>61</v>
      </c>
      <c r="EU49" s="1">
        <v>2016</v>
      </c>
      <c r="EV49" s="1" t="s">
        <v>65</v>
      </c>
      <c r="EW49" s="1">
        <v>1356096.9</v>
      </c>
      <c r="EX49" s="1">
        <v>42141395.200000003</v>
      </c>
      <c r="EY49" s="1">
        <v>3.2179686827264797E-2</v>
      </c>
      <c r="EZ49" s="1"/>
      <c r="FA49" s="22">
        <v>3398</v>
      </c>
      <c r="FB49" s="1" t="s">
        <v>44</v>
      </c>
      <c r="FC49" s="1">
        <v>2016</v>
      </c>
      <c r="FD49" s="1" t="s">
        <v>65</v>
      </c>
      <c r="FE49" s="1">
        <v>198739.20000000001</v>
      </c>
      <c r="FF49" s="1">
        <v>5868597.7999999998</v>
      </c>
      <c r="FG49" s="1">
        <v>3.3864852691046499E-2</v>
      </c>
      <c r="FH49" s="1"/>
      <c r="FI49" s="22">
        <v>4594</v>
      </c>
      <c r="FJ49" s="1" t="s">
        <v>38</v>
      </c>
      <c r="FK49" s="1">
        <v>2016</v>
      </c>
      <c r="FL49" s="1" t="s">
        <v>65</v>
      </c>
      <c r="FM49" s="1">
        <v>145402.20000000001</v>
      </c>
      <c r="FN49" s="1">
        <v>5582986.5</v>
      </c>
      <c r="FO49" s="1">
        <v>2.6043802900114401E-2</v>
      </c>
      <c r="FP49" s="1"/>
      <c r="FQ49" s="22">
        <v>5790</v>
      </c>
      <c r="FR49" s="1" t="s">
        <v>31</v>
      </c>
      <c r="FS49" s="1">
        <v>2016</v>
      </c>
      <c r="FT49" s="1" t="s">
        <v>65</v>
      </c>
      <c r="FU49" s="1">
        <v>183681.9</v>
      </c>
      <c r="FV49" s="1">
        <v>8130820.9000000004</v>
      </c>
      <c r="FW49" s="1">
        <v>2.2590818597418599E-2</v>
      </c>
      <c r="FX49" s="1"/>
      <c r="FY49" s="22">
        <v>6986</v>
      </c>
      <c r="FZ49" s="1" t="s">
        <v>51</v>
      </c>
      <c r="GA49" s="1">
        <v>2016</v>
      </c>
      <c r="GB49" s="1" t="s">
        <v>65</v>
      </c>
      <c r="GC49" s="1">
        <v>83135.199999999997</v>
      </c>
      <c r="GD49" s="1">
        <v>4230502.5999999996</v>
      </c>
      <c r="GE49" s="1">
        <v>1.9651376647304201E-2</v>
      </c>
      <c r="GF49" s="1"/>
      <c r="GG49" s="22">
        <v>8182</v>
      </c>
      <c r="GH49" s="1" t="s">
        <v>57</v>
      </c>
      <c r="GI49" s="1">
        <v>2016</v>
      </c>
      <c r="GJ49" s="1" t="s">
        <v>65</v>
      </c>
      <c r="GK49" s="1">
        <v>195018.9</v>
      </c>
      <c r="GL49" s="1">
        <v>10773649.5</v>
      </c>
      <c r="GM49" s="1">
        <v>1.81014706297991E-2</v>
      </c>
      <c r="GN49" s="1"/>
      <c r="GO49" s="22">
        <v>1052</v>
      </c>
      <c r="GP49" s="1" t="s">
        <v>17</v>
      </c>
      <c r="GQ49" s="1">
        <v>2017</v>
      </c>
      <c r="GR49" s="1" t="s">
        <v>65</v>
      </c>
      <c r="GS49" s="1">
        <v>106716.9</v>
      </c>
      <c r="GT49" s="1">
        <v>3719735.5</v>
      </c>
      <c r="GU49" s="1">
        <v>2.8689378586192402E-2</v>
      </c>
      <c r="GV49" s="1"/>
      <c r="GW49" s="22">
        <v>2248</v>
      </c>
      <c r="GX49" s="1" t="s">
        <v>61</v>
      </c>
      <c r="GY49" s="1">
        <v>2017</v>
      </c>
      <c r="GZ49" s="1" t="s">
        <v>65</v>
      </c>
      <c r="HA49" s="1">
        <v>1392637.9</v>
      </c>
      <c r="HB49" s="1">
        <v>44107004.100000001</v>
      </c>
      <c r="HC49" s="1">
        <v>3.1574076009392799E-2</v>
      </c>
      <c r="HD49" s="1"/>
      <c r="HE49" s="22">
        <v>3444</v>
      </c>
      <c r="HF49" s="1" t="s">
        <v>44</v>
      </c>
      <c r="HG49" s="1">
        <v>2017</v>
      </c>
      <c r="HH49" s="1" t="s">
        <v>65</v>
      </c>
      <c r="HI49" s="1">
        <v>193363.3</v>
      </c>
      <c r="HJ49" s="1">
        <v>5855367.5</v>
      </c>
      <c r="HK49" s="1">
        <v>3.3023256012538901E-2</v>
      </c>
      <c r="HL49" s="1"/>
      <c r="HM49" s="22">
        <v>4640</v>
      </c>
      <c r="HN49" s="1" t="s">
        <v>38</v>
      </c>
      <c r="HO49" s="1">
        <v>2017</v>
      </c>
      <c r="HP49" s="1" t="s">
        <v>65</v>
      </c>
      <c r="HQ49" s="1">
        <v>153023.70000000001</v>
      </c>
      <c r="HR49" s="1">
        <v>5923445.7000000002</v>
      </c>
      <c r="HS49" s="1">
        <v>2.5833561705478202E-2</v>
      </c>
      <c r="HT49" s="1"/>
      <c r="HU49" s="22">
        <v>5836</v>
      </c>
      <c r="HV49" s="1" t="s">
        <v>31</v>
      </c>
      <c r="HW49" s="1">
        <v>2017</v>
      </c>
      <c r="HX49" s="1" t="s">
        <v>65</v>
      </c>
      <c r="HY49" s="1">
        <v>195568.2</v>
      </c>
      <c r="HZ49" s="1">
        <v>8686095.3000000007</v>
      </c>
      <c r="IA49" s="1">
        <v>2.2515087993565899E-2</v>
      </c>
      <c r="IB49" s="1"/>
      <c r="IC49" s="22">
        <v>7032</v>
      </c>
      <c r="ID49" s="1" t="s">
        <v>51</v>
      </c>
      <c r="IE49" s="1">
        <v>2017</v>
      </c>
      <c r="IF49" s="1" t="s">
        <v>65</v>
      </c>
      <c r="IG49" s="1">
        <v>86600.5</v>
      </c>
      <c r="IH49" s="1">
        <v>4472691.8</v>
      </c>
      <c r="II49" s="1">
        <v>1.9362053964907599E-2</v>
      </c>
      <c r="IJ49" s="1"/>
      <c r="IK49" s="22">
        <v>8228</v>
      </c>
      <c r="IL49" s="1" t="s">
        <v>57</v>
      </c>
      <c r="IM49" s="1">
        <v>2017</v>
      </c>
      <c r="IN49" s="1" t="s">
        <v>65</v>
      </c>
      <c r="IO49" s="1">
        <v>190417.7</v>
      </c>
      <c r="IP49" s="1">
        <v>10750260.5</v>
      </c>
      <c r="IQ49" s="1">
        <v>1.7712845191053699E-2</v>
      </c>
      <c r="IR49" s="1"/>
      <c r="IS49" s="22">
        <v>1098</v>
      </c>
      <c r="IT49" s="1" t="s">
        <v>17</v>
      </c>
      <c r="IU49" s="1">
        <v>2018</v>
      </c>
      <c r="IV49" s="1" t="s">
        <v>65</v>
      </c>
      <c r="IW49" s="1">
        <v>110995.5</v>
      </c>
      <c r="IX49" s="1">
        <v>3904165.4</v>
      </c>
      <c r="IY49" s="1">
        <v>2.8430019896185699E-2</v>
      </c>
      <c r="IZ49" s="1"/>
      <c r="JA49" s="22">
        <v>2294</v>
      </c>
      <c r="JB49" s="1" t="s">
        <v>61</v>
      </c>
      <c r="JC49" s="1">
        <v>2018</v>
      </c>
      <c r="JD49" s="1" t="s">
        <v>65</v>
      </c>
      <c r="JE49" s="1">
        <v>1452915.6</v>
      </c>
      <c r="JF49" s="1">
        <v>46669099.200000003</v>
      </c>
      <c r="JG49" s="1">
        <v>3.1132282921801001E-2</v>
      </c>
      <c r="JH49" s="1"/>
      <c r="JI49" s="22">
        <v>3490</v>
      </c>
      <c r="JJ49" s="1" t="s">
        <v>44</v>
      </c>
      <c r="JK49" s="1">
        <v>2018</v>
      </c>
      <c r="JL49" s="1" t="s">
        <v>65</v>
      </c>
      <c r="JM49" s="1">
        <v>210188.3</v>
      </c>
      <c r="JN49" s="1">
        <v>6336724.7000000002</v>
      </c>
      <c r="JO49" s="1">
        <v>3.3169864551635002E-2</v>
      </c>
      <c r="JP49" s="1"/>
      <c r="JQ49" s="22">
        <v>4686</v>
      </c>
      <c r="JR49" s="1" t="s">
        <v>38</v>
      </c>
      <c r="JS49" s="1">
        <v>2018</v>
      </c>
      <c r="JT49" s="1" t="s">
        <v>65</v>
      </c>
      <c r="JU49" s="1">
        <v>162791</v>
      </c>
      <c r="JV49" s="1">
        <v>6390706</v>
      </c>
      <c r="JW49" s="1">
        <v>2.5473085446271498E-2</v>
      </c>
      <c r="JX49" s="1"/>
      <c r="JY49" s="22">
        <v>5882</v>
      </c>
      <c r="JZ49" s="1" t="s">
        <v>31</v>
      </c>
      <c r="KA49" s="1">
        <v>2018</v>
      </c>
      <c r="KB49" s="1" t="s">
        <v>65</v>
      </c>
      <c r="KC49" s="1">
        <v>214256.8</v>
      </c>
      <c r="KD49" s="1">
        <v>9443218.3000000007</v>
      </c>
      <c r="KE49" s="1">
        <v>2.2688959758560199E-2</v>
      </c>
      <c r="KF49" s="1"/>
      <c r="KG49" s="22">
        <v>7078</v>
      </c>
      <c r="KH49" s="1" t="s">
        <v>51</v>
      </c>
      <c r="KI49" s="1">
        <v>2018</v>
      </c>
      <c r="KJ49" s="1" t="s">
        <v>65</v>
      </c>
      <c r="KK49" s="1">
        <v>93720.8</v>
      </c>
      <c r="KL49" s="1">
        <v>4803387.8</v>
      </c>
      <c r="KM49" s="1">
        <v>1.95113956861863E-2</v>
      </c>
      <c r="KN49" s="1"/>
      <c r="KO49" s="22">
        <v>8274</v>
      </c>
      <c r="KP49" s="1" t="s">
        <v>57</v>
      </c>
      <c r="KQ49" s="1">
        <v>2018</v>
      </c>
      <c r="KR49" s="1" t="s">
        <v>65</v>
      </c>
      <c r="KS49" s="1">
        <v>195459.4</v>
      </c>
      <c r="KT49" s="1">
        <v>11172914.4</v>
      </c>
      <c r="KU49" s="1">
        <v>1.7494038976974501E-2</v>
      </c>
      <c r="KV49" s="1"/>
      <c r="KW49" s="22">
        <v>1144</v>
      </c>
      <c r="KX49" s="1" t="s">
        <v>17</v>
      </c>
      <c r="KY49" s="1">
        <v>2019</v>
      </c>
      <c r="KZ49" s="1" t="s">
        <v>65</v>
      </c>
      <c r="LA49" s="1">
        <v>113309.6</v>
      </c>
      <c r="LB49" s="1">
        <v>3955328</v>
      </c>
      <c r="LC49" s="1">
        <v>2.86473334196304E-2</v>
      </c>
      <c r="LD49" s="1"/>
      <c r="LE49" s="22">
        <v>2340</v>
      </c>
      <c r="LF49" s="1" t="s">
        <v>61</v>
      </c>
      <c r="LG49" s="1">
        <v>2019</v>
      </c>
      <c r="LH49" s="1" t="s">
        <v>65</v>
      </c>
      <c r="LI49" s="1">
        <v>1509071.7</v>
      </c>
      <c r="LJ49" s="1">
        <v>48356774.5</v>
      </c>
      <c r="LK49" s="1">
        <v>3.1207038012843399E-2</v>
      </c>
      <c r="LL49" s="1"/>
      <c r="LM49" s="22">
        <v>3536</v>
      </c>
      <c r="LN49" s="1" t="s">
        <v>44</v>
      </c>
      <c r="LO49" s="1">
        <v>2019</v>
      </c>
      <c r="LP49" s="1" t="s">
        <v>65</v>
      </c>
      <c r="LQ49" s="1">
        <v>212387.3</v>
      </c>
      <c r="LR49" s="1">
        <v>6269787.0999999996</v>
      </c>
      <c r="LS49" s="1">
        <v>3.3874722795611302E-2</v>
      </c>
      <c r="LT49" s="1"/>
      <c r="LU49" s="22">
        <v>4732</v>
      </c>
      <c r="LV49" s="1" t="s">
        <v>38</v>
      </c>
      <c r="LW49" s="1">
        <v>2019</v>
      </c>
      <c r="LX49" s="1" t="s">
        <v>65</v>
      </c>
      <c r="LY49" s="1">
        <v>155675</v>
      </c>
      <c r="LZ49" s="1">
        <v>6182094.5</v>
      </c>
      <c r="MA49" s="1">
        <v>2.5181595007970101E-2</v>
      </c>
      <c r="MB49" s="1"/>
      <c r="MC49" s="22">
        <v>5928</v>
      </c>
      <c r="MD49" s="1" t="s">
        <v>31</v>
      </c>
      <c r="ME49" s="1">
        <v>2019</v>
      </c>
      <c r="MF49" s="1" t="s">
        <v>65</v>
      </c>
      <c r="MG49" s="1">
        <v>213433.9</v>
      </c>
      <c r="MH49" s="1">
        <v>9237079</v>
      </c>
      <c r="MI49" s="1">
        <v>2.3106211389985899E-2</v>
      </c>
      <c r="MJ49" s="1"/>
      <c r="MK49" s="22">
        <v>7124</v>
      </c>
      <c r="ML49" s="1" t="s">
        <v>51</v>
      </c>
      <c r="MM49" s="1">
        <v>2019</v>
      </c>
      <c r="MN49" s="1" t="s">
        <v>65</v>
      </c>
      <c r="MO49" s="1">
        <v>90048.1</v>
      </c>
      <c r="MP49" s="1">
        <v>4608662</v>
      </c>
      <c r="MQ49" s="1">
        <v>1.95388813499449E-2</v>
      </c>
      <c r="MR49" s="1"/>
      <c r="MS49" s="22">
        <v>8320</v>
      </c>
      <c r="MT49" s="1" t="s">
        <v>57</v>
      </c>
      <c r="MU49" s="1">
        <v>2019</v>
      </c>
      <c r="MV49" s="1" t="s">
        <v>65</v>
      </c>
      <c r="MW49" s="1">
        <v>198785.9</v>
      </c>
      <c r="MX49" s="1">
        <v>11338077</v>
      </c>
      <c r="MY49" s="1">
        <v>1.7532593931051901E-2</v>
      </c>
      <c r="MZ49" s="1"/>
      <c r="NA49" s="22">
        <v>1190</v>
      </c>
      <c r="NB49" s="1" t="s">
        <v>17</v>
      </c>
      <c r="NC49" s="1">
        <v>2020</v>
      </c>
      <c r="ND49" s="1" t="s">
        <v>65</v>
      </c>
      <c r="NE49" s="1">
        <v>112636</v>
      </c>
      <c r="NF49" s="1">
        <v>3784752.3</v>
      </c>
      <c r="NG49" s="1">
        <v>2.97604680760746E-2</v>
      </c>
      <c r="NH49" s="1"/>
      <c r="NI49" s="22">
        <v>2386</v>
      </c>
      <c r="NJ49" s="1" t="s">
        <v>61</v>
      </c>
      <c r="NK49" s="1">
        <v>2020</v>
      </c>
      <c r="NL49" s="1" t="s">
        <v>65</v>
      </c>
      <c r="NM49" s="1">
        <v>1495144.8</v>
      </c>
      <c r="NN49" s="1">
        <v>47421769.399999999</v>
      </c>
      <c r="NO49" s="1">
        <v>3.1528659071924002E-2</v>
      </c>
      <c r="NP49" s="1"/>
      <c r="NQ49" s="22">
        <v>3582</v>
      </c>
      <c r="NR49" s="1" t="s">
        <v>44</v>
      </c>
      <c r="NS49" s="1">
        <v>2020</v>
      </c>
      <c r="NT49" s="1" t="s">
        <v>65</v>
      </c>
      <c r="NU49" s="1">
        <v>210497.3</v>
      </c>
      <c r="NV49" s="1">
        <v>5955345.3666666672</v>
      </c>
      <c r="NW49" s="1">
        <v>3.5345943356735902E-2</v>
      </c>
      <c r="NX49" s="1"/>
      <c r="NY49" s="22">
        <v>4778</v>
      </c>
      <c r="NZ49" s="1" t="s">
        <v>38</v>
      </c>
      <c r="OA49" s="1">
        <v>2020</v>
      </c>
      <c r="OB49" s="1" t="s">
        <v>65</v>
      </c>
      <c r="OC49" s="1">
        <v>160626.79999999999</v>
      </c>
      <c r="OD49" s="1">
        <v>5990228.4000000004</v>
      </c>
      <c r="OE49" s="1">
        <v>2.6814803923002301E-2</v>
      </c>
      <c r="OF49" s="1"/>
      <c r="OG49" s="22">
        <v>5974</v>
      </c>
      <c r="OH49" s="1" t="s">
        <v>31</v>
      </c>
      <c r="OI49" s="1">
        <v>2020</v>
      </c>
      <c r="OJ49" s="1" t="s">
        <v>65</v>
      </c>
      <c r="OK49" s="1">
        <v>221019.4</v>
      </c>
      <c r="OL49" s="1">
        <v>9257180.0999999996</v>
      </c>
      <c r="OM49" s="1">
        <v>2.3875456414637501E-2</v>
      </c>
      <c r="ON49" s="1"/>
      <c r="OO49" s="22">
        <v>7170</v>
      </c>
      <c r="OP49" s="1" t="s">
        <v>51</v>
      </c>
      <c r="OQ49" s="1">
        <v>2020</v>
      </c>
      <c r="OR49" s="1" t="s">
        <v>65</v>
      </c>
      <c r="OS49" s="1">
        <v>87517.9</v>
      </c>
      <c r="OT49" s="1">
        <v>4352046.4000000004</v>
      </c>
      <c r="OU49" s="1">
        <v>2.0109597177088899E-2</v>
      </c>
      <c r="OV49" s="1"/>
      <c r="OW49" s="22">
        <v>8366</v>
      </c>
      <c r="OX49" s="1" t="s">
        <v>57</v>
      </c>
      <c r="OY49" s="1">
        <v>2020</v>
      </c>
      <c r="OZ49" s="1" t="s">
        <v>65</v>
      </c>
      <c r="PA49" s="1">
        <v>210290.8</v>
      </c>
      <c r="PB49" s="1">
        <v>11082248.733333331</v>
      </c>
      <c r="PC49" s="1">
        <v>1.8975462928158601E-2</v>
      </c>
      <c r="PD49" s="1"/>
      <c r="PE49" s="22">
        <v>8412</v>
      </c>
      <c r="PF49" s="1" t="s">
        <v>17</v>
      </c>
      <c r="PG49" s="1">
        <v>2021</v>
      </c>
      <c r="PH49" s="1" t="s">
        <v>65</v>
      </c>
      <c r="PI49" s="1">
        <v>137582.62084460759</v>
      </c>
      <c r="PJ49" s="1">
        <v>4622999.2247741111</v>
      </c>
      <c r="PK49" s="1">
        <v>2.97604680760746E-2</v>
      </c>
      <c r="PL49" s="1"/>
      <c r="PM49" s="22">
        <v>9332</v>
      </c>
      <c r="PN49" s="1" t="s">
        <v>61</v>
      </c>
      <c r="PO49" s="1">
        <v>2021</v>
      </c>
      <c r="PP49" s="1" t="s">
        <v>65</v>
      </c>
      <c r="PQ49" s="1">
        <v>1658080.791874158</v>
      </c>
      <c r="PR49" s="1">
        <v>52589638.782026872</v>
      </c>
      <c r="PS49" s="1">
        <v>3.1528659071924002E-2</v>
      </c>
      <c r="PT49" s="1"/>
      <c r="PU49" s="22">
        <v>10252</v>
      </c>
      <c r="PV49" s="1" t="s">
        <v>44</v>
      </c>
      <c r="PW49" s="1">
        <v>2021</v>
      </c>
      <c r="PX49" s="1" t="s">
        <v>65</v>
      </c>
      <c r="PY49" s="1">
        <v>245352.00240138199</v>
      </c>
      <c r="PZ49" s="1">
        <v>6941447.2808129201</v>
      </c>
      <c r="QA49" s="1">
        <v>3.5345943356735902E-2</v>
      </c>
      <c r="QB49" s="1"/>
      <c r="QC49" s="22">
        <v>11172</v>
      </c>
      <c r="QD49" s="1" t="s">
        <v>38</v>
      </c>
      <c r="QE49" s="1">
        <v>2021</v>
      </c>
      <c r="QF49" s="1" t="s">
        <v>65</v>
      </c>
      <c r="QG49" s="1">
        <v>179947.41489540861</v>
      </c>
      <c r="QH49" s="1">
        <v>6710748.8614170318</v>
      </c>
      <c r="QI49" s="1">
        <v>2.6814803923002301E-2</v>
      </c>
      <c r="QJ49" s="1"/>
      <c r="QK49" s="22">
        <v>12092</v>
      </c>
      <c r="QL49" s="1" t="s">
        <v>31</v>
      </c>
      <c r="QM49" s="1">
        <v>2021</v>
      </c>
      <c r="QN49" s="1" t="s">
        <v>65</v>
      </c>
      <c r="QO49" s="1">
        <v>243914.8499850255</v>
      </c>
      <c r="QP49" s="1">
        <v>10216133.49495957</v>
      </c>
      <c r="QQ49" s="1">
        <v>2.3875456414637501E-2</v>
      </c>
      <c r="QR49" s="1"/>
      <c r="QS49" s="22">
        <v>13012</v>
      </c>
      <c r="QT49" s="1" t="s">
        <v>51</v>
      </c>
      <c r="QU49" s="1">
        <v>2021</v>
      </c>
      <c r="QV49" s="1" t="s">
        <v>65</v>
      </c>
      <c r="QW49" s="1">
        <v>99985.259535617559</v>
      </c>
      <c r="QX49" s="1">
        <v>4972017.0252605537</v>
      </c>
      <c r="QY49" s="1">
        <v>2.0109597177088899E-2</v>
      </c>
      <c r="QZ49" s="1"/>
      <c r="RA49" s="22">
        <v>13932</v>
      </c>
      <c r="RB49" s="1" t="s">
        <v>57</v>
      </c>
      <c r="RC49" s="1">
        <v>2021</v>
      </c>
      <c r="RD49" s="1" t="s">
        <v>65</v>
      </c>
      <c r="RE49" s="1">
        <v>209670.00552425999</v>
      </c>
      <c r="RF49" s="1">
        <v>11049533.09007922</v>
      </c>
      <c r="RG49" s="1">
        <v>1.8975462928158601E-2</v>
      </c>
      <c r="RH49" s="1"/>
      <c r="RI49" s="22">
        <v>8458</v>
      </c>
      <c r="RJ49" s="1" t="s">
        <v>17</v>
      </c>
      <c r="RK49" s="1">
        <v>2022</v>
      </c>
      <c r="RL49" s="1" t="s">
        <v>65</v>
      </c>
      <c r="RM49" s="1">
        <v>149013.71083784301</v>
      </c>
      <c r="RN49" s="1">
        <v>5007102.3902221443</v>
      </c>
      <c r="RO49" s="1">
        <v>2.97604680760746E-2</v>
      </c>
      <c r="RP49" s="1"/>
      <c r="RQ49" s="22">
        <v>9378</v>
      </c>
      <c r="RR49" s="1" t="s">
        <v>61</v>
      </c>
      <c r="RS49" s="1">
        <v>2022</v>
      </c>
      <c r="RT49" s="1" t="s">
        <v>65</v>
      </c>
      <c r="RU49" s="1">
        <v>1820918.7602905279</v>
      </c>
      <c r="RV49" s="1">
        <v>57754399.13688051</v>
      </c>
      <c r="RW49" s="1">
        <v>3.1528659071924002E-2</v>
      </c>
      <c r="RX49" s="1"/>
      <c r="RY49" s="22">
        <v>10298</v>
      </c>
      <c r="RZ49" s="1" t="s">
        <v>44</v>
      </c>
      <c r="SA49" s="1">
        <v>2022</v>
      </c>
      <c r="SB49" s="1" t="s">
        <v>65</v>
      </c>
      <c r="SC49" s="1">
        <v>243066.55051283329</v>
      </c>
      <c r="SD49" s="1">
        <v>6876787.7563667288</v>
      </c>
      <c r="SE49" s="1">
        <v>3.5345943356735902E-2</v>
      </c>
      <c r="SF49" s="1"/>
      <c r="SG49" s="22">
        <v>11218</v>
      </c>
      <c r="SH49" s="1" t="s">
        <v>38</v>
      </c>
      <c r="SI49" s="1">
        <v>2022</v>
      </c>
      <c r="SJ49" s="1" t="s">
        <v>65</v>
      </c>
      <c r="SK49" s="1">
        <v>169627.1128164262</v>
      </c>
      <c r="SL49" s="1">
        <v>6325875.5612572851</v>
      </c>
      <c r="SM49" s="1">
        <v>2.6814803923002301E-2</v>
      </c>
      <c r="SN49" s="1"/>
      <c r="SO49" s="22">
        <v>12138</v>
      </c>
      <c r="SP49" s="1" t="s">
        <v>31</v>
      </c>
      <c r="SQ49" s="1">
        <v>2022</v>
      </c>
      <c r="SR49" s="1" t="s">
        <v>65</v>
      </c>
      <c r="SS49" s="1">
        <v>233554.23255011201</v>
      </c>
      <c r="ST49" s="1">
        <v>9782189.227885304</v>
      </c>
      <c r="SU49" s="1">
        <v>2.3875456414637501E-2</v>
      </c>
      <c r="SV49" s="1"/>
      <c r="SW49" s="22">
        <v>13058</v>
      </c>
      <c r="SX49" s="1" t="s">
        <v>51</v>
      </c>
      <c r="SY49" s="1">
        <v>2022</v>
      </c>
      <c r="SZ49" s="1" t="s">
        <v>65</v>
      </c>
      <c r="TA49" s="1">
        <v>96537.729283137844</v>
      </c>
      <c r="TB49" s="1">
        <v>4800579.963537232</v>
      </c>
      <c r="TC49" s="1">
        <v>2.0109597177088899E-2</v>
      </c>
      <c r="TD49" s="1"/>
      <c r="TE49" s="22">
        <v>13978</v>
      </c>
      <c r="TF49" s="1" t="s">
        <v>57</v>
      </c>
      <c r="TG49" s="1">
        <v>2022</v>
      </c>
      <c r="TH49" s="1" t="s">
        <v>65</v>
      </c>
      <c r="TI49" s="1">
        <v>177353.32580830829</v>
      </c>
      <c r="TJ49" s="1">
        <v>9346455.8140041605</v>
      </c>
      <c r="TK49" s="1">
        <v>1.8975462928158601E-2</v>
      </c>
      <c r="TL49" s="1"/>
      <c r="TM49" s="22">
        <v>8504</v>
      </c>
      <c r="TN49" s="1" t="s">
        <v>17</v>
      </c>
      <c r="TO49" s="1">
        <v>2023</v>
      </c>
      <c r="TP49" s="1" t="s">
        <v>65</v>
      </c>
      <c r="TQ49" s="1">
        <v>147852.4378140702</v>
      </c>
      <c r="TR49" s="1">
        <v>4968081.7329930915</v>
      </c>
      <c r="TS49" s="1">
        <v>2.97604680760746E-2</v>
      </c>
      <c r="TT49" s="1"/>
      <c r="TU49" s="22">
        <v>9424</v>
      </c>
      <c r="TV49" s="1" t="s">
        <v>61</v>
      </c>
      <c r="TW49" s="1">
        <v>2023</v>
      </c>
      <c r="TX49" s="1" t="s">
        <v>65</v>
      </c>
      <c r="TY49" s="1">
        <v>1940913.4759769761</v>
      </c>
      <c r="TZ49" s="1">
        <v>61560292.543660469</v>
      </c>
      <c r="UA49" s="1">
        <v>3.1528659071924002E-2</v>
      </c>
      <c r="UB49" s="1"/>
      <c r="UC49" s="22">
        <v>10344</v>
      </c>
      <c r="UD49" s="1" t="s">
        <v>44</v>
      </c>
      <c r="UE49" s="1">
        <v>2023</v>
      </c>
      <c r="UF49" s="1" t="s">
        <v>65</v>
      </c>
      <c r="UG49" s="1">
        <v>263034.59361831471</v>
      </c>
      <c r="UH49" s="1">
        <v>7441719.4347760417</v>
      </c>
      <c r="UI49" s="1">
        <v>3.5345943356735902E-2</v>
      </c>
      <c r="UJ49" s="1"/>
      <c r="UK49" s="22">
        <v>11264</v>
      </c>
      <c r="UL49" s="1" t="s">
        <v>38</v>
      </c>
      <c r="UM49" s="1">
        <v>2023</v>
      </c>
      <c r="UN49" s="1" t="s">
        <v>65</v>
      </c>
      <c r="UO49" s="1">
        <v>185127.88746077099</v>
      </c>
      <c r="UP49" s="1">
        <v>6903943.3587640161</v>
      </c>
      <c r="UQ49" s="1">
        <v>2.6814803923002301E-2</v>
      </c>
      <c r="UR49" s="1"/>
      <c r="US49" s="22">
        <v>12184</v>
      </c>
      <c r="UT49" s="1" t="s">
        <v>31</v>
      </c>
      <c r="UU49" s="1">
        <v>2023</v>
      </c>
      <c r="UV49" s="1" t="s">
        <v>65</v>
      </c>
      <c r="UW49" s="1">
        <v>253865.9790210496</v>
      </c>
      <c r="UX49" s="1">
        <v>10632926.743356841</v>
      </c>
      <c r="UY49" s="1">
        <v>2.3875456414637501E-2</v>
      </c>
      <c r="UZ49" s="1"/>
      <c r="VA49" s="22">
        <v>13104</v>
      </c>
      <c r="VB49" s="1" t="s">
        <v>51</v>
      </c>
      <c r="VC49" s="1">
        <v>2023</v>
      </c>
      <c r="VD49" s="1" t="s">
        <v>65</v>
      </c>
      <c r="VE49" s="1">
        <v>105738.7901938682</v>
      </c>
      <c r="VF49" s="1">
        <v>5258125.7228930313</v>
      </c>
      <c r="VG49" s="1">
        <v>2.0109597177088899E-2</v>
      </c>
      <c r="VH49" s="1"/>
      <c r="VI49" s="22">
        <v>14024</v>
      </c>
      <c r="VJ49" s="1" t="s">
        <v>57</v>
      </c>
      <c r="VK49" s="1">
        <v>2023</v>
      </c>
      <c r="VL49" s="1" t="s">
        <v>65</v>
      </c>
      <c r="VM49" s="1">
        <v>175302.4571950917</v>
      </c>
      <c r="VN49" s="1">
        <v>9238375.7834414635</v>
      </c>
      <c r="VO49" s="1">
        <v>1.8975462928158601E-2</v>
      </c>
      <c r="VP49" s="1"/>
      <c r="VQ49" s="22">
        <v>8550</v>
      </c>
      <c r="VR49" s="1" t="s">
        <v>17</v>
      </c>
      <c r="VS49" s="1">
        <v>2024</v>
      </c>
      <c r="VT49" s="1" t="s">
        <v>65</v>
      </c>
      <c r="VU49" s="1">
        <v>152472.35878913791</v>
      </c>
      <c r="VV49" s="1">
        <v>5123318.5714479852</v>
      </c>
      <c r="VW49" s="1">
        <v>2.97604680760746E-2</v>
      </c>
      <c r="VX49" s="1"/>
      <c r="VY49" s="22">
        <v>9470</v>
      </c>
      <c r="VZ49" s="1" t="s">
        <v>61</v>
      </c>
      <c r="WA49" s="1">
        <v>2024</v>
      </c>
      <c r="WB49" s="1" t="s">
        <v>65</v>
      </c>
      <c r="WC49" s="1">
        <v>2043432.0094745241</v>
      </c>
      <c r="WD49" s="1">
        <v>64811890.820126347</v>
      </c>
      <c r="WE49" s="1">
        <v>3.1528659071924002E-2</v>
      </c>
      <c r="WF49" s="1"/>
      <c r="WG49" s="22">
        <v>10390</v>
      </c>
      <c r="WH49" s="1" t="s">
        <v>44</v>
      </c>
      <c r="WI49" s="1">
        <v>2024</v>
      </c>
      <c r="WJ49" s="1" t="s">
        <v>65</v>
      </c>
      <c r="WK49" s="1">
        <v>284419.33589651308</v>
      </c>
      <c r="WL49" s="1">
        <v>8046732.0684004631</v>
      </c>
      <c r="WM49" s="1">
        <v>3.5345943356735902E-2</v>
      </c>
      <c r="WN49" s="1"/>
      <c r="WO49" s="22">
        <v>11310</v>
      </c>
      <c r="WP49" s="1" t="s">
        <v>38</v>
      </c>
      <c r="WQ49" s="1">
        <v>2024</v>
      </c>
      <c r="WR49" s="1" t="s">
        <v>65</v>
      </c>
      <c r="WS49" s="1">
        <v>191815.7926168741</v>
      </c>
      <c r="WT49" s="1">
        <v>7153354.2877160665</v>
      </c>
      <c r="WU49" s="1">
        <v>2.6814803923002301E-2</v>
      </c>
      <c r="WV49" s="1"/>
      <c r="WW49" s="22">
        <v>12230</v>
      </c>
      <c r="WX49" s="1" t="s">
        <v>31</v>
      </c>
      <c r="WY49" s="1">
        <v>2024</v>
      </c>
      <c r="WZ49" s="1" t="s">
        <v>65</v>
      </c>
      <c r="XA49" s="1">
        <v>261395.5170735046</v>
      </c>
      <c r="XB49" s="1">
        <v>10948294.03609846</v>
      </c>
      <c r="XC49" s="1">
        <v>2.3875456414637501E-2</v>
      </c>
      <c r="XD49" s="1"/>
      <c r="XE49" s="22">
        <v>13150</v>
      </c>
      <c r="XF49" s="1" t="s">
        <v>51</v>
      </c>
      <c r="XG49" s="1">
        <v>2024</v>
      </c>
      <c r="XH49" s="1" t="s">
        <v>65</v>
      </c>
      <c r="XI49" s="1">
        <v>108866.0681018935</v>
      </c>
      <c r="XJ49" s="1">
        <v>5413637.436055948</v>
      </c>
      <c r="XK49" s="1">
        <v>2.0109597177088899E-2</v>
      </c>
      <c r="XL49" s="1"/>
      <c r="XM49" s="22">
        <v>14070</v>
      </c>
      <c r="XN49" s="1" t="s">
        <v>57</v>
      </c>
      <c r="XO49" s="1">
        <v>2024</v>
      </c>
      <c r="XP49" s="1" t="s">
        <v>65</v>
      </c>
      <c r="XQ49" s="1">
        <v>167523.38647228811</v>
      </c>
      <c r="XR49" s="1">
        <v>8828421.583522588</v>
      </c>
      <c r="XS49" s="1">
        <v>1.8975462928158601E-2</v>
      </c>
      <c r="XT49" s="1"/>
    </row>
    <row r="50" spans="1:644" x14ac:dyDescent="0.25">
      <c r="A50" s="2">
        <v>41</v>
      </c>
      <c r="B50" s="1" t="s">
        <v>17</v>
      </c>
      <c r="C50" s="1" t="s">
        <v>65</v>
      </c>
      <c r="D50" s="1">
        <v>2.7746799850771081E-2</v>
      </c>
      <c r="E50" s="1">
        <v>2.8532793899346341E-2</v>
      </c>
      <c r="F50" s="1">
        <v>2.9306633612509299E-2</v>
      </c>
      <c r="G50" s="1">
        <v>2.8689378586192481E-2</v>
      </c>
      <c r="H50" s="1">
        <v>2.8430019896185751E-2</v>
      </c>
      <c r="I50" s="1">
        <v>2.8647333419630439E-2</v>
      </c>
      <c r="J50" s="1">
        <v>2.9760468076074621E-2</v>
      </c>
      <c r="K50" s="1">
        <v>2.9760468076074659E-2</v>
      </c>
      <c r="L50" s="1">
        <v>2.9760468076074659E-2</v>
      </c>
      <c r="M50" s="1">
        <v>2.9760468076074659E-2</v>
      </c>
      <c r="N50" s="1">
        <v>2.9760468076074669E-2</v>
      </c>
      <c r="O50" s="1">
        <v>2.9105027240455331E-2</v>
      </c>
      <c r="P50" s="1"/>
      <c r="Q50" s="2">
        <v>314</v>
      </c>
      <c r="R50" s="1" t="s">
        <v>61</v>
      </c>
      <c r="S50" s="1" t="s">
        <v>29</v>
      </c>
      <c r="T50" s="1">
        <v>5.4530108276593922E-2</v>
      </c>
      <c r="U50" s="1"/>
      <c r="AC50" s="22">
        <v>915</v>
      </c>
      <c r="AD50" s="1" t="s">
        <v>17</v>
      </c>
      <c r="AE50" s="1">
        <v>2014</v>
      </c>
      <c r="AF50" s="1" t="s">
        <v>66</v>
      </c>
      <c r="AG50" s="1">
        <v>178392.3</v>
      </c>
      <c r="AH50" s="1">
        <v>4088215.6</v>
      </c>
      <c r="AI50" s="1">
        <v>4.3635736823664499E-2</v>
      </c>
      <c r="AJ50" s="1"/>
      <c r="AK50" s="22">
        <v>2111</v>
      </c>
      <c r="AL50" s="1" t="s">
        <v>61</v>
      </c>
      <c r="AM50" s="1">
        <v>2014</v>
      </c>
      <c r="AN50" s="1" t="s">
        <v>66</v>
      </c>
      <c r="AO50" s="1">
        <v>2064044.7</v>
      </c>
      <c r="AP50" s="1">
        <v>40350049.200000003</v>
      </c>
      <c r="AQ50" s="1">
        <v>5.1153461790574402E-2</v>
      </c>
      <c r="AR50" s="1"/>
      <c r="AS50" s="22">
        <v>3307</v>
      </c>
      <c r="AT50" s="1" t="s">
        <v>44</v>
      </c>
      <c r="AU50" s="1">
        <v>2014</v>
      </c>
      <c r="AV50" s="1" t="s">
        <v>66</v>
      </c>
      <c r="AW50" s="1">
        <v>339940</v>
      </c>
      <c r="AX50" s="1">
        <v>6735816.8000000007</v>
      </c>
      <c r="AY50" s="1">
        <v>5.04675245918208E-2</v>
      </c>
      <c r="AZ50" s="1"/>
      <c r="BA50" s="22">
        <v>4503</v>
      </c>
      <c r="BB50" s="1" t="s">
        <v>38</v>
      </c>
      <c r="BC50" s="1">
        <v>2014</v>
      </c>
      <c r="BD50" s="1" t="s">
        <v>66</v>
      </c>
      <c r="BE50" s="1">
        <v>310908</v>
      </c>
      <c r="BF50" s="1">
        <v>6538596.7000000002</v>
      </c>
      <c r="BG50" s="1">
        <v>4.7549652358892198E-2</v>
      </c>
      <c r="BH50" s="1"/>
      <c r="BI50" s="22">
        <v>5699</v>
      </c>
      <c r="BJ50" s="1" t="s">
        <v>31</v>
      </c>
      <c r="BK50" s="1">
        <v>2014</v>
      </c>
      <c r="BL50" s="1" t="s">
        <v>66</v>
      </c>
      <c r="BM50" s="1">
        <v>383059.9</v>
      </c>
      <c r="BN50" s="1">
        <v>9155477.5</v>
      </c>
      <c r="BO50" s="1">
        <v>4.1839423448968099E-2</v>
      </c>
      <c r="BP50" s="1"/>
      <c r="BQ50" s="22">
        <v>6895</v>
      </c>
      <c r="BR50" s="1" t="s">
        <v>51</v>
      </c>
      <c r="BS50" s="1">
        <v>2014</v>
      </c>
      <c r="BT50" s="1" t="s">
        <v>66</v>
      </c>
      <c r="BU50" s="1">
        <v>200109.8</v>
      </c>
      <c r="BV50" s="1">
        <v>4981875.5</v>
      </c>
      <c r="BW50" s="1">
        <v>4.0167563400570698E-2</v>
      </c>
      <c r="BX50" s="1"/>
      <c r="BY50" s="22">
        <v>8091</v>
      </c>
      <c r="BZ50" s="1" t="s">
        <v>57</v>
      </c>
      <c r="CA50" s="1">
        <v>2014</v>
      </c>
      <c r="CB50" s="1" t="s">
        <v>66</v>
      </c>
      <c r="CC50" s="1">
        <v>514970.9</v>
      </c>
      <c r="CD50" s="1">
        <v>11026913.800000001</v>
      </c>
      <c r="CE50" s="1">
        <v>4.6701271937030997E-2</v>
      </c>
      <c r="CF50" s="1"/>
      <c r="CG50" s="22">
        <v>961</v>
      </c>
      <c r="CH50" s="1" t="s">
        <v>17</v>
      </c>
      <c r="CI50" s="1">
        <v>2015</v>
      </c>
      <c r="CJ50" s="1" t="s">
        <v>66</v>
      </c>
      <c r="CK50" s="1">
        <v>159913.5</v>
      </c>
      <c r="CL50" s="1">
        <v>3555133.8</v>
      </c>
      <c r="CM50" s="1">
        <v>4.4981007465879297E-2</v>
      </c>
      <c r="CN50" s="1"/>
      <c r="CO50" s="22">
        <v>2157</v>
      </c>
      <c r="CP50" s="1" t="s">
        <v>61</v>
      </c>
      <c r="CQ50" s="1">
        <v>2015</v>
      </c>
      <c r="CR50" s="1" t="s">
        <v>66</v>
      </c>
      <c r="CS50" s="1">
        <v>2181064.6</v>
      </c>
      <c r="CT50" s="1">
        <v>41208556.399999999</v>
      </c>
      <c r="CU50" s="1">
        <v>5.2927469208797602E-2</v>
      </c>
      <c r="CV50" s="1"/>
      <c r="CW50" s="22">
        <v>3353</v>
      </c>
      <c r="CX50" s="1" t="s">
        <v>44</v>
      </c>
      <c r="CY50" s="1">
        <v>2015</v>
      </c>
      <c r="CZ50" s="1" t="s">
        <v>66</v>
      </c>
      <c r="DA50" s="1">
        <v>325870.3</v>
      </c>
      <c r="DB50" s="1">
        <v>6404349.4000000004</v>
      </c>
      <c r="DC50" s="1">
        <v>5.0882654840786697E-2</v>
      </c>
      <c r="DD50" s="1"/>
      <c r="DE50" s="22">
        <v>4549</v>
      </c>
      <c r="DF50" s="1" t="s">
        <v>38</v>
      </c>
      <c r="DG50" s="1">
        <v>2015</v>
      </c>
      <c r="DH50" s="1" t="s">
        <v>66</v>
      </c>
      <c r="DI50" s="1">
        <v>265811.5</v>
      </c>
      <c r="DJ50" s="1">
        <v>5531517.5999999996</v>
      </c>
      <c r="DK50" s="1">
        <v>4.8053991548359098E-2</v>
      </c>
      <c r="DL50" s="1"/>
      <c r="DM50" s="22">
        <v>5745</v>
      </c>
      <c r="DN50" s="1" t="s">
        <v>31</v>
      </c>
      <c r="DO50" s="1">
        <v>2015</v>
      </c>
      <c r="DP50" s="1" t="s">
        <v>66</v>
      </c>
      <c r="DQ50" s="1">
        <v>332044.40000000002</v>
      </c>
      <c r="DR50" s="1">
        <v>7894528</v>
      </c>
      <c r="DS50" s="1">
        <v>4.2060069962383997E-2</v>
      </c>
      <c r="DT50" s="1"/>
      <c r="DU50" s="22">
        <v>6941</v>
      </c>
      <c r="DV50" s="1" t="s">
        <v>51</v>
      </c>
      <c r="DW50" s="1">
        <v>2015</v>
      </c>
      <c r="DX50" s="1" t="s">
        <v>66</v>
      </c>
      <c r="DY50" s="1">
        <v>170352.3</v>
      </c>
      <c r="DZ50" s="1">
        <v>4209274.5999999996</v>
      </c>
      <c r="EA50" s="1">
        <v>4.0470702481610402E-2</v>
      </c>
      <c r="EB50" s="1"/>
      <c r="EC50" s="22">
        <v>8137</v>
      </c>
      <c r="ED50" s="1" t="s">
        <v>57</v>
      </c>
      <c r="EE50" s="1">
        <v>2015</v>
      </c>
      <c r="EF50" s="1" t="s">
        <v>66</v>
      </c>
      <c r="EG50" s="1">
        <v>463214.4</v>
      </c>
      <c r="EH50" s="1">
        <v>9729477.0999999996</v>
      </c>
      <c r="EI50" s="1">
        <v>4.7609382831066999E-2</v>
      </c>
      <c r="EJ50" s="1"/>
      <c r="EK50" s="22">
        <v>1007</v>
      </c>
      <c r="EL50" s="1" t="s">
        <v>17</v>
      </c>
      <c r="EM50" s="1">
        <v>2016</v>
      </c>
      <c r="EN50" s="1" t="s">
        <v>66</v>
      </c>
      <c r="EO50" s="1">
        <v>159369.60000000001</v>
      </c>
      <c r="EP50" s="1">
        <v>3463407</v>
      </c>
      <c r="EQ50" s="1">
        <v>4.6015267625202499E-2</v>
      </c>
      <c r="ER50" s="1"/>
      <c r="ES50" s="22">
        <v>2203</v>
      </c>
      <c r="ET50" s="1" t="s">
        <v>61</v>
      </c>
      <c r="EU50" s="1">
        <v>2016</v>
      </c>
      <c r="EV50" s="1" t="s">
        <v>66</v>
      </c>
      <c r="EW50" s="1">
        <v>2295530.7000000002</v>
      </c>
      <c r="EX50" s="1">
        <v>42141395.200000003</v>
      </c>
      <c r="EY50" s="1">
        <v>5.4472109646716199E-2</v>
      </c>
      <c r="EZ50" s="1"/>
      <c r="FA50" s="22">
        <v>3399</v>
      </c>
      <c r="FB50" s="1" t="s">
        <v>44</v>
      </c>
      <c r="FC50" s="1">
        <v>2016</v>
      </c>
      <c r="FD50" s="1" t="s">
        <v>66</v>
      </c>
      <c r="FE50" s="1">
        <v>301229.09999999998</v>
      </c>
      <c r="FF50" s="1">
        <v>5868597.7999999998</v>
      </c>
      <c r="FG50" s="1">
        <v>5.1328973336697198E-2</v>
      </c>
      <c r="FH50" s="1"/>
      <c r="FI50" s="22">
        <v>4595</v>
      </c>
      <c r="FJ50" s="1" t="s">
        <v>38</v>
      </c>
      <c r="FK50" s="1">
        <v>2016</v>
      </c>
      <c r="FL50" s="1" t="s">
        <v>66</v>
      </c>
      <c r="FM50" s="1">
        <v>270931.7</v>
      </c>
      <c r="FN50" s="1">
        <v>5582986.5</v>
      </c>
      <c r="FO50" s="1">
        <v>4.8528095133312597E-2</v>
      </c>
      <c r="FP50" s="1"/>
      <c r="FQ50" s="22">
        <v>5791</v>
      </c>
      <c r="FR50" s="1" t="s">
        <v>31</v>
      </c>
      <c r="FS50" s="1">
        <v>2016</v>
      </c>
      <c r="FT50" s="1" t="s">
        <v>66</v>
      </c>
      <c r="FU50" s="1">
        <v>351752.7</v>
      </c>
      <c r="FV50" s="1">
        <v>8130820.9000000004</v>
      </c>
      <c r="FW50" s="1">
        <v>4.3261646557729398E-2</v>
      </c>
      <c r="FX50" s="1"/>
      <c r="FY50" s="22">
        <v>6987</v>
      </c>
      <c r="FZ50" s="1" t="s">
        <v>51</v>
      </c>
      <c r="GA50" s="1">
        <v>2016</v>
      </c>
      <c r="GB50" s="1" t="s">
        <v>66</v>
      </c>
      <c r="GC50" s="1">
        <v>173160.2</v>
      </c>
      <c r="GD50" s="1">
        <v>4230502.5999999996</v>
      </c>
      <c r="GE50" s="1">
        <v>4.0931354113811401E-2</v>
      </c>
      <c r="GF50" s="1"/>
      <c r="GG50" s="22">
        <v>8183</v>
      </c>
      <c r="GH50" s="1" t="s">
        <v>57</v>
      </c>
      <c r="GI50" s="1">
        <v>2016</v>
      </c>
      <c r="GJ50" s="1" t="s">
        <v>66</v>
      </c>
      <c r="GK50" s="1">
        <v>530560.4</v>
      </c>
      <c r="GL50" s="1">
        <v>10773649.5</v>
      </c>
      <c r="GM50" s="1">
        <v>4.9246116647845201E-2</v>
      </c>
      <c r="GN50" s="1"/>
      <c r="GO50" s="22">
        <v>1053</v>
      </c>
      <c r="GP50" s="1" t="s">
        <v>17</v>
      </c>
      <c r="GQ50" s="1">
        <v>2017</v>
      </c>
      <c r="GR50" s="1" t="s">
        <v>66</v>
      </c>
      <c r="GS50" s="1">
        <v>167984.9</v>
      </c>
      <c r="GT50" s="1">
        <v>3719735.5</v>
      </c>
      <c r="GU50" s="1">
        <v>4.5160442187354398E-2</v>
      </c>
      <c r="GV50" s="1"/>
      <c r="GW50" s="22">
        <v>2249</v>
      </c>
      <c r="GX50" s="1" t="s">
        <v>61</v>
      </c>
      <c r="GY50" s="1">
        <v>2017</v>
      </c>
      <c r="GZ50" s="1" t="s">
        <v>66</v>
      </c>
      <c r="HA50" s="1">
        <v>2387681.9</v>
      </c>
      <c r="HB50" s="1">
        <v>44107004.100000001</v>
      </c>
      <c r="HC50" s="1">
        <v>5.4133849004720701E-2</v>
      </c>
      <c r="HD50" s="1"/>
      <c r="HE50" s="22">
        <v>3445</v>
      </c>
      <c r="HF50" s="1" t="s">
        <v>44</v>
      </c>
      <c r="HG50" s="1">
        <v>2017</v>
      </c>
      <c r="HH50" s="1" t="s">
        <v>66</v>
      </c>
      <c r="HI50" s="1">
        <v>293348.09999999998</v>
      </c>
      <c r="HJ50" s="1">
        <v>5855367.5</v>
      </c>
      <c r="HK50" s="1">
        <v>5.0099007449148102E-2</v>
      </c>
      <c r="HL50" s="1"/>
      <c r="HM50" s="22">
        <v>4641</v>
      </c>
      <c r="HN50" s="1" t="s">
        <v>38</v>
      </c>
      <c r="HO50" s="1">
        <v>2017</v>
      </c>
      <c r="HP50" s="1" t="s">
        <v>66</v>
      </c>
      <c r="HQ50" s="1">
        <v>282581.2</v>
      </c>
      <c r="HR50" s="1">
        <v>5923445.7000000002</v>
      </c>
      <c r="HS50" s="1">
        <v>4.7705544088975101E-2</v>
      </c>
      <c r="HT50" s="1"/>
      <c r="HU50" s="22">
        <v>5837</v>
      </c>
      <c r="HV50" s="1" t="s">
        <v>31</v>
      </c>
      <c r="HW50" s="1">
        <v>2017</v>
      </c>
      <c r="HX50" s="1" t="s">
        <v>66</v>
      </c>
      <c r="HY50" s="1">
        <v>376098.7</v>
      </c>
      <c r="HZ50" s="1">
        <v>8686095.3000000007</v>
      </c>
      <c r="IA50" s="1">
        <v>4.3298937786233997E-2</v>
      </c>
      <c r="IB50" s="1"/>
      <c r="IC50" s="22">
        <v>7033</v>
      </c>
      <c r="ID50" s="1" t="s">
        <v>51</v>
      </c>
      <c r="IE50" s="1">
        <v>2017</v>
      </c>
      <c r="IF50" s="1" t="s">
        <v>66</v>
      </c>
      <c r="IG50" s="1">
        <v>180321.9</v>
      </c>
      <c r="IH50" s="1">
        <v>4472691.8</v>
      </c>
      <c r="II50" s="1">
        <v>4.0316191694674701E-2</v>
      </c>
      <c r="IJ50" s="1"/>
      <c r="IK50" s="22">
        <v>8229</v>
      </c>
      <c r="IL50" s="1" t="s">
        <v>57</v>
      </c>
      <c r="IM50" s="1">
        <v>2017</v>
      </c>
      <c r="IN50" s="1" t="s">
        <v>66</v>
      </c>
      <c r="IO50" s="1">
        <v>523286.9</v>
      </c>
      <c r="IP50" s="1">
        <v>10750260.5</v>
      </c>
      <c r="IQ50" s="1">
        <v>4.8676671602516E-2</v>
      </c>
      <c r="IR50" s="1"/>
      <c r="IS50" s="22">
        <v>1099</v>
      </c>
      <c r="IT50" s="1" t="s">
        <v>17</v>
      </c>
      <c r="IU50" s="1">
        <v>2018</v>
      </c>
      <c r="IV50" s="1" t="s">
        <v>66</v>
      </c>
      <c r="IW50" s="1">
        <v>176343.2</v>
      </c>
      <c r="IX50" s="1">
        <v>3904165.4</v>
      </c>
      <c r="IY50" s="1">
        <v>4.51679634269593E-2</v>
      </c>
      <c r="IZ50" s="1"/>
      <c r="JA50" s="22">
        <v>2295</v>
      </c>
      <c r="JB50" s="1" t="s">
        <v>61</v>
      </c>
      <c r="JC50" s="1">
        <v>2018</v>
      </c>
      <c r="JD50" s="1" t="s">
        <v>66</v>
      </c>
      <c r="JE50" s="1">
        <v>2492414.6</v>
      </c>
      <c r="JF50" s="1">
        <v>46669099.200000003</v>
      </c>
      <c r="JG50" s="1">
        <v>5.3406100454580802E-2</v>
      </c>
      <c r="JH50" s="1"/>
      <c r="JI50" s="22">
        <v>3491</v>
      </c>
      <c r="JJ50" s="1" t="s">
        <v>44</v>
      </c>
      <c r="JK50" s="1">
        <v>2018</v>
      </c>
      <c r="JL50" s="1" t="s">
        <v>66</v>
      </c>
      <c r="JM50" s="1">
        <v>315938.09999999998</v>
      </c>
      <c r="JN50" s="1">
        <v>6336724.7000000002</v>
      </c>
      <c r="JO50" s="1">
        <v>4.9858265106577801E-2</v>
      </c>
      <c r="JP50" s="1"/>
      <c r="JQ50" s="22">
        <v>4687</v>
      </c>
      <c r="JR50" s="1" t="s">
        <v>38</v>
      </c>
      <c r="JS50" s="1">
        <v>2018</v>
      </c>
      <c r="JT50" s="1" t="s">
        <v>66</v>
      </c>
      <c r="JU50" s="1">
        <v>301822.5</v>
      </c>
      <c r="JV50" s="1">
        <v>6390706</v>
      </c>
      <c r="JW50" s="1">
        <v>4.72283500445803E-2</v>
      </c>
      <c r="JX50" s="1"/>
      <c r="JY50" s="22">
        <v>5883</v>
      </c>
      <c r="JZ50" s="1" t="s">
        <v>31</v>
      </c>
      <c r="KA50" s="1">
        <v>2018</v>
      </c>
      <c r="KB50" s="1" t="s">
        <v>66</v>
      </c>
      <c r="KC50" s="1">
        <v>405787.5</v>
      </c>
      <c r="KD50" s="1">
        <v>9443218.3000000007</v>
      </c>
      <c r="KE50" s="1">
        <v>4.29713141334453E-2</v>
      </c>
      <c r="KF50" s="1"/>
      <c r="KG50" s="22">
        <v>7079</v>
      </c>
      <c r="KH50" s="1" t="s">
        <v>51</v>
      </c>
      <c r="KI50" s="1">
        <v>2018</v>
      </c>
      <c r="KJ50" s="1" t="s">
        <v>66</v>
      </c>
      <c r="KK50" s="1">
        <v>192497.7</v>
      </c>
      <c r="KL50" s="1">
        <v>4803387.8</v>
      </c>
      <c r="KM50" s="1">
        <v>4.0075402614796099E-2</v>
      </c>
      <c r="KN50" s="1"/>
      <c r="KO50" s="22">
        <v>8275</v>
      </c>
      <c r="KP50" s="1" t="s">
        <v>57</v>
      </c>
      <c r="KQ50" s="1">
        <v>2018</v>
      </c>
      <c r="KR50" s="1" t="s">
        <v>66</v>
      </c>
      <c r="KS50" s="1">
        <v>542973.1</v>
      </c>
      <c r="KT50" s="1">
        <v>11172914.4</v>
      </c>
      <c r="KU50" s="1">
        <v>4.85972666182782E-2</v>
      </c>
      <c r="KV50" s="1"/>
      <c r="KW50" s="22">
        <v>1145</v>
      </c>
      <c r="KX50" s="1" t="s">
        <v>17</v>
      </c>
      <c r="KY50" s="1">
        <v>2019</v>
      </c>
      <c r="KZ50" s="1" t="s">
        <v>66</v>
      </c>
      <c r="LA50" s="1">
        <v>181322.1</v>
      </c>
      <c r="LB50" s="1">
        <v>3955328</v>
      </c>
      <c r="LC50" s="1">
        <v>4.5842493972686901E-2</v>
      </c>
      <c r="LD50" s="1"/>
      <c r="LE50" s="22">
        <v>2341</v>
      </c>
      <c r="LF50" s="1" t="s">
        <v>61</v>
      </c>
      <c r="LG50" s="1">
        <v>2019</v>
      </c>
      <c r="LH50" s="1" t="s">
        <v>66</v>
      </c>
      <c r="LI50" s="1">
        <v>2613603.7000000002</v>
      </c>
      <c r="LJ50" s="1">
        <v>48356774.5</v>
      </c>
      <c r="LK50" s="1">
        <v>5.4048346421451197E-2</v>
      </c>
      <c r="LL50" s="1"/>
      <c r="LM50" s="22">
        <v>3537</v>
      </c>
      <c r="LN50" s="1" t="s">
        <v>44</v>
      </c>
      <c r="LO50" s="1">
        <v>2019</v>
      </c>
      <c r="LP50" s="1" t="s">
        <v>66</v>
      </c>
      <c r="LQ50" s="1">
        <v>321761.7</v>
      </c>
      <c r="LR50" s="1">
        <v>6269787.0999999996</v>
      </c>
      <c r="LS50" s="1">
        <v>5.1319398070151297E-2</v>
      </c>
      <c r="LT50" s="1"/>
      <c r="LU50" s="22">
        <v>4733</v>
      </c>
      <c r="LV50" s="1" t="s">
        <v>38</v>
      </c>
      <c r="LW50" s="1">
        <v>2019</v>
      </c>
      <c r="LX50" s="1" t="s">
        <v>66</v>
      </c>
      <c r="LY50" s="1">
        <v>290061.8</v>
      </c>
      <c r="LZ50" s="1">
        <v>6182094.5</v>
      </c>
      <c r="MA50" s="1">
        <v>4.6919664524701102E-2</v>
      </c>
      <c r="MB50" s="1"/>
      <c r="MC50" s="22">
        <v>5929</v>
      </c>
      <c r="MD50" s="1" t="s">
        <v>31</v>
      </c>
      <c r="ME50" s="1">
        <v>2019</v>
      </c>
      <c r="MF50" s="1" t="s">
        <v>66</v>
      </c>
      <c r="MG50" s="1">
        <v>402911.2</v>
      </c>
      <c r="MH50" s="1">
        <v>9237079</v>
      </c>
      <c r="MI50" s="1">
        <v>4.3618897272611798E-2</v>
      </c>
      <c r="MJ50" s="1"/>
      <c r="MK50" s="22">
        <v>7125</v>
      </c>
      <c r="ML50" s="1" t="s">
        <v>51</v>
      </c>
      <c r="MM50" s="1">
        <v>2019</v>
      </c>
      <c r="MN50" s="1" t="s">
        <v>66</v>
      </c>
      <c r="MO50" s="1">
        <v>186152.7</v>
      </c>
      <c r="MP50" s="1">
        <v>4608662</v>
      </c>
      <c r="MQ50" s="1">
        <v>4.0391918522121997E-2</v>
      </c>
      <c r="MR50" s="1"/>
      <c r="MS50" s="22">
        <v>8321</v>
      </c>
      <c r="MT50" s="1" t="s">
        <v>57</v>
      </c>
      <c r="MU50" s="1">
        <v>2019</v>
      </c>
      <c r="MV50" s="1" t="s">
        <v>66</v>
      </c>
      <c r="MW50" s="1">
        <v>563692.5</v>
      </c>
      <c r="MX50" s="1">
        <v>11338077</v>
      </c>
      <c r="MY50" s="1">
        <v>4.9716764139104003E-2</v>
      </c>
      <c r="MZ50" s="1"/>
      <c r="NA50" s="22">
        <v>1191</v>
      </c>
      <c r="NB50" s="1" t="s">
        <v>17</v>
      </c>
      <c r="NC50" s="1">
        <v>2020</v>
      </c>
      <c r="ND50" s="1" t="s">
        <v>66</v>
      </c>
      <c r="NE50" s="1">
        <v>181470</v>
      </c>
      <c r="NF50" s="1">
        <v>3784752.3</v>
      </c>
      <c r="NG50" s="1">
        <v>4.79476556497501E-2</v>
      </c>
      <c r="NH50" s="1"/>
      <c r="NI50" s="22">
        <v>2387</v>
      </c>
      <c r="NJ50" s="1" t="s">
        <v>61</v>
      </c>
      <c r="NK50" s="1">
        <v>2020</v>
      </c>
      <c r="NL50" s="1" t="s">
        <v>66</v>
      </c>
      <c r="NM50" s="1">
        <v>2552751.5</v>
      </c>
      <c r="NN50" s="1">
        <v>47421769.399999999</v>
      </c>
      <c r="NO50" s="1">
        <v>5.3830794006602303E-2</v>
      </c>
      <c r="NP50" s="1"/>
      <c r="NQ50" s="22">
        <v>3583</v>
      </c>
      <c r="NR50" s="1" t="s">
        <v>44</v>
      </c>
      <c r="NS50" s="1">
        <v>2020</v>
      </c>
      <c r="NT50" s="1" t="s">
        <v>66</v>
      </c>
      <c r="NU50" s="1">
        <v>362819</v>
      </c>
      <c r="NV50" s="1">
        <v>5955345.3666666672</v>
      </c>
      <c r="NW50" s="1">
        <v>6.0923250905107001E-2</v>
      </c>
      <c r="NX50" s="1"/>
      <c r="NY50" s="22">
        <v>4779</v>
      </c>
      <c r="NZ50" s="1" t="s">
        <v>38</v>
      </c>
      <c r="OA50" s="1">
        <v>2020</v>
      </c>
      <c r="OB50" s="1" t="s">
        <v>66</v>
      </c>
      <c r="OC50" s="1">
        <v>308576</v>
      </c>
      <c r="OD50" s="1">
        <v>5990228.4000000004</v>
      </c>
      <c r="OE50" s="1">
        <v>5.1513227776089403E-2</v>
      </c>
      <c r="OF50" s="1"/>
      <c r="OG50" s="22">
        <v>5975</v>
      </c>
      <c r="OH50" s="1" t="s">
        <v>31</v>
      </c>
      <c r="OI50" s="1">
        <v>2020</v>
      </c>
      <c r="OJ50" s="1" t="s">
        <v>66</v>
      </c>
      <c r="OK50" s="1">
        <v>436332.5</v>
      </c>
      <c r="OL50" s="1">
        <v>9257180.0999999996</v>
      </c>
      <c r="OM50" s="1">
        <v>4.7134494012923002E-2</v>
      </c>
      <c r="ON50" s="1"/>
      <c r="OO50" s="22">
        <v>7171</v>
      </c>
      <c r="OP50" s="1" t="s">
        <v>51</v>
      </c>
      <c r="OQ50" s="1">
        <v>2020</v>
      </c>
      <c r="OR50" s="1" t="s">
        <v>66</v>
      </c>
      <c r="OS50" s="1">
        <v>190279.9</v>
      </c>
      <c r="OT50" s="1">
        <v>4352046.4000000004</v>
      </c>
      <c r="OU50" s="1">
        <v>4.3721937339638597E-2</v>
      </c>
      <c r="OV50" s="1"/>
      <c r="OW50" s="22">
        <v>8367</v>
      </c>
      <c r="OX50" s="1" t="s">
        <v>57</v>
      </c>
      <c r="OY50" s="1">
        <v>2020</v>
      </c>
      <c r="OZ50" s="1" t="s">
        <v>66</v>
      </c>
      <c r="PA50" s="1">
        <v>595040.1</v>
      </c>
      <c r="PB50" s="1">
        <v>11082248.733333331</v>
      </c>
      <c r="PC50" s="1">
        <v>5.3693082903854203E-2</v>
      </c>
      <c r="PD50" s="1"/>
      <c r="PE50" s="22">
        <v>8413</v>
      </c>
      <c r="PF50" s="1" t="s">
        <v>17</v>
      </c>
      <c r="PG50" s="1">
        <v>2021</v>
      </c>
      <c r="PH50" s="1" t="s">
        <v>66</v>
      </c>
      <c r="PI50" s="1">
        <v>221661.97489853069</v>
      </c>
      <c r="PJ50" s="1">
        <v>4622999.2247741111</v>
      </c>
      <c r="PK50" s="1">
        <v>4.79476556497501E-2</v>
      </c>
      <c r="PL50" s="1"/>
      <c r="PM50" s="22">
        <v>9333</v>
      </c>
      <c r="PN50" s="1" t="s">
        <v>61</v>
      </c>
      <c r="PO50" s="1">
        <v>2021</v>
      </c>
      <c r="PP50" s="1" t="s">
        <v>66</v>
      </c>
      <c r="PQ50" s="1">
        <v>2830942.0121569121</v>
      </c>
      <c r="PR50" s="1">
        <v>52589638.782026872</v>
      </c>
      <c r="PS50" s="1">
        <v>5.3830794006602303E-2</v>
      </c>
      <c r="PT50" s="1"/>
      <c r="PU50" s="22">
        <v>10253</v>
      </c>
      <c r="PV50" s="1" t="s">
        <v>44</v>
      </c>
      <c r="PW50" s="1">
        <v>2021</v>
      </c>
      <c r="PX50" s="1" t="s">
        <v>66</v>
      </c>
      <c r="PY50" s="1">
        <v>422895.53433353832</v>
      </c>
      <c r="PZ50" s="1">
        <v>6941447.2808129201</v>
      </c>
      <c r="QA50" s="1">
        <v>6.0923250905107001E-2</v>
      </c>
      <c r="QB50" s="1"/>
      <c r="QC50" s="22">
        <v>11173</v>
      </c>
      <c r="QD50" s="1" t="s">
        <v>38</v>
      </c>
      <c r="QE50" s="1">
        <v>2021</v>
      </c>
      <c r="QF50" s="1" t="s">
        <v>66</v>
      </c>
      <c r="QG50" s="1">
        <v>345692.3346463081</v>
      </c>
      <c r="QH50" s="1">
        <v>6710748.8614170318</v>
      </c>
      <c r="QI50" s="1">
        <v>5.1513227776089403E-2</v>
      </c>
      <c r="QJ50" s="1"/>
      <c r="QK50" s="22">
        <v>12093</v>
      </c>
      <c r="QL50" s="1" t="s">
        <v>31</v>
      </c>
      <c r="QM50" s="1">
        <v>2021</v>
      </c>
      <c r="QN50" s="1" t="s">
        <v>66</v>
      </c>
      <c r="QO50" s="1">
        <v>481532.283053394</v>
      </c>
      <c r="QP50" s="1">
        <v>10216133.49495957</v>
      </c>
      <c r="QQ50" s="1">
        <v>4.7134494012923002E-2</v>
      </c>
      <c r="QR50" s="1"/>
      <c r="QS50" s="22">
        <v>13013</v>
      </c>
      <c r="QT50" s="1" t="s">
        <v>51</v>
      </c>
      <c r="QU50" s="1">
        <v>2021</v>
      </c>
      <c r="QV50" s="1" t="s">
        <v>66</v>
      </c>
      <c r="QW50" s="1">
        <v>217386.2168300582</v>
      </c>
      <c r="QX50" s="1">
        <v>4972017.0252605537</v>
      </c>
      <c r="QY50" s="1">
        <v>4.3721937339638597E-2</v>
      </c>
      <c r="QZ50" s="1"/>
      <c r="RA50" s="22">
        <v>13933</v>
      </c>
      <c r="RB50" s="1" t="s">
        <v>57</v>
      </c>
      <c r="RC50" s="1">
        <v>2021</v>
      </c>
      <c r="RD50" s="1" t="s">
        <v>66</v>
      </c>
      <c r="RE50" s="1">
        <v>593283.49625450373</v>
      </c>
      <c r="RF50" s="1">
        <v>11049533.09007922</v>
      </c>
      <c r="RG50" s="1">
        <v>5.3693082903854203E-2</v>
      </c>
      <c r="RH50" s="1"/>
      <c r="RI50" s="22">
        <v>8459</v>
      </c>
      <c r="RJ50" s="1" t="s">
        <v>17</v>
      </c>
      <c r="RK50" s="1">
        <v>2022</v>
      </c>
      <c r="RL50" s="1" t="s">
        <v>66</v>
      </c>
      <c r="RM50" s="1">
        <v>240078.82120941201</v>
      </c>
      <c r="RN50" s="1">
        <v>5007102.3902221443</v>
      </c>
      <c r="RO50" s="1">
        <v>4.79476556497501E-2</v>
      </c>
      <c r="RP50" s="1"/>
      <c r="RQ50" s="22">
        <v>9379</v>
      </c>
      <c r="RR50" s="1" t="s">
        <v>61</v>
      </c>
      <c r="RS50" s="1">
        <v>2022</v>
      </c>
      <c r="RT50" s="1" t="s">
        <v>66</v>
      </c>
      <c r="RU50" s="1">
        <v>3108965.1629125052</v>
      </c>
      <c r="RV50" s="1">
        <v>57754399.13688051</v>
      </c>
      <c r="RW50" s="1">
        <v>5.3830794006602303E-2</v>
      </c>
      <c r="RX50" s="1"/>
      <c r="RY50" s="22">
        <v>10299</v>
      </c>
      <c r="RZ50" s="1" t="s">
        <v>44</v>
      </c>
      <c r="SA50" s="1">
        <v>2022</v>
      </c>
      <c r="SB50" s="1" t="s">
        <v>66</v>
      </c>
      <c r="SC50" s="1">
        <v>418956.2659022981</v>
      </c>
      <c r="SD50" s="1">
        <v>6876787.7563667288</v>
      </c>
      <c r="SE50" s="1">
        <v>6.0923250905107001E-2</v>
      </c>
      <c r="SF50" s="1"/>
      <c r="SG50" s="22">
        <v>11219</v>
      </c>
      <c r="SH50" s="1" t="s">
        <v>38</v>
      </c>
      <c r="SI50" s="1">
        <v>2022</v>
      </c>
      <c r="SJ50" s="1" t="s">
        <v>66</v>
      </c>
      <c r="SK50" s="1">
        <v>325866.26867024391</v>
      </c>
      <c r="SL50" s="1">
        <v>6325875.5612572851</v>
      </c>
      <c r="SM50" s="1">
        <v>5.1513227776089403E-2</v>
      </c>
      <c r="SN50" s="1"/>
      <c r="SO50" s="22">
        <v>12139</v>
      </c>
      <c r="SP50" s="1" t="s">
        <v>31</v>
      </c>
      <c r="SQ50" s="1">
        <v>2022</v>
      </c>
      <c r="SR50" s="1" t="s">
        <v>66</v>
      </c>
      <c r="SS50" s="1">
        <v>461078.53959503968</v>
      </c>
      <c r="ST50" s="1">
        <v>9782189.227885304</v>
      </c>
      <c r="SU50" s="1">
        <v>4.7134494012923002E-2</v>
      </c>
      <c r="SV50" s="1"/>
      <c r="SW50" s="22">
        <v>13059</v>
      </c>
      <c r="SX50" s="1" t="s">
        <v>51</v>
      </c>
      <c r="SY50" s="1">
        <v>2022</v>
      </c>
      <c r="SZ50" s="1" t="s">
        <v>66</v>
      </c>
      <c r="TA50" s="1">
        <v>209890.65635969941</v>
      </c>
      <c r="TB50" s="1">
        <v>4800579.963537232</v>
      </c>
      <c r="TC50" s="1">
        <v>4.3721937339638597E-2</v>
      </c>
      <c r="TD50" s="1"/>
      <c r="TE50" s="22">
        <v>13979</v>
      </c>
      <c r="TF50" s="1" t="s">
        <v>57</v>
      </c>
      <c r="TG50" s="1">
        <v>2022</v>
      </c>
      <c r="TH50" s="1" t="s">
        <v>66</v>
      </c>
      <c r="TI50" s="1">
        <v>501840.02687853551</v>
      </c>
      <c r="TJ50" s="1">
        <v>9346455.8140041605</v>
      </c>
      <c r="TK50" s="1">
        <v>5.3693082903854203E-2</v>
      </c>
      <c r="TL50" s="1"/>
      <c r="TM50" s="22">
        <v>8505</v>
      </c>
      <c r="TN50" s="1" t="s">
        <v>17</v>
      </c>
      <c r="TO50" s="1">
        <v>2023</v>
      </c>
      <c r="TP50" s="1" t="s">
        <v>66</v>
      </c>
      <c r="TQ50" s="1">
        <v>238207.8721733664</v>
      </c>
      <c r="TR50" s="1">
        <v>4968081.7329930915</v>
      </c>
      <c r="TS50" s="1">
        <v>4.79476556497501E-2</v>
      </c>
      <c r="TT50" s="1"/>
      <c r="TU50" s="22">
        <v>9425</v>
      </c>
      <c r="TV50" s="1" t="s">
        <v>61</v>
      </c>
      <c r="TW50" s="1">
        <v>2023</v>
      </c>
      <c r="TX50" s="1" t="s">
        <v>66</v>
      </c>
      <c r="TY50" s="1">
        <v>3313839.4269039631</v>
      </c>
      <c r="TZ50" s="1">
        <v>61560292.543660469</v>
      </c>
      <c r="UA50" s="1">
        <v>5.3830794006602303E-2</v>
      </c>
      <c r="UB50" s="1"/>
      <c r="UC50" s="22">
        <v>10345</v>
      </c>
      <c r="UD50" s="1" t="s">
        <v>44</v>
      </c>
      <c r="UE50" s="1">
        <v>2023</v>
      </c>
      <c r="UF50" s="1" t="s">
        <v>66</v>
      </c>
      <c r="UG50" s="1">
        <v>453373.74029027182</v>
      </c>
      <c r="UH50" s="1">
        <v>7441719.4347760417</v>
      </c>
      <c r="UI50" s="1">
        <v>6.0923250905107001E-2</v>
      </c>
      <c r="UJ50" s="1"/>
      <c r="UK50" s="22">
        <v>11265</v>
      </c>
      <c r="UL50" s="1" t="s">
        <v>38</v>
      </c>
      <c r="UM50" s="1">
        <v>2023</v>
      </c>
      <c r="UN50" s="1" t="s">
        <v>66</v>
      </c>
      <c r="UO50" s="1">
        <v>355644.4067932305</v>
      </c>
      <c r="UP50" s="1">
        <v>6903943.3587640161</v>
      </c>
      <c r="UQ50" s="1">
        <v>5.1513227776089403E-2</v>
      </c>
      <c r="UR50" s="1"/>
      <c r="US50" s="22">
        <v>12185</v>
      </c>
      <c r="UT50" s="1" t="s">
        <v>31</v>
      </c>
      <c r="UU50" s="1">
        <v>2023</v>
      </c>
      <c r="UV50" s="1" t="s">
        <v>66</v>
      </c>
      <c r="UW50" s="1">
        <v>501177.62192460161</v>
      </c>
      <c r="UX50" s="1">
        <v>10632926.743356841</v>
      </c>
      <c r="UY50" s="1">
        <v>4.7134494012923002E-2</v>
      </c>
      <c r="UZ50" s="1"/>
      <c r="VA50" s="22">
        <v>13105</v>
      </c>
      <c r="VB50" s="1" t="s">
        <v>51</v>
      </c>
      <c r="VC50" s="1">
        <v>2023</v>
      </c>
      <c r="VD50" s="1" t="s">
        <v>66</v>
      </c>
      <c r="VE50" s="1">
        <v>229895.443380271</v>
      </c>
      <c r="VF50" s="1">
        <v>5258125.7228930313</v>
      </c>
      <c r="VG50" s="1">
        <v>4.3721937339638597E-2</v>
      </c>
      <c r="VH50" s="1"/>
      <c r="VI50" s="22">
        <v>14025</v>
      </c>
      <c r="VJ50" s="1" t="s">
        <v>57</v>
      </c>
      <c r="VK50" s="1">
        <v>2023</v>
      </c>
      <c r="VL50" s="1" t="s">
        <v>66</v>
      </c>
      <c r="VM50" s="1">
        <v>496036.87683728151</v>
      </c>
      <c r="VN50" s="1">
        <v>9238375.7834414635</v>
      </c>
      <c r="VO50" s="1">
        <v>5.3693082903854203E-2</v>
      </c>
      <c r="VP50" s="1"/>
      <c r="VQ50" s="22">
        <v>8551</v>
      </c>
      <c r="VR50" s="1" t="s">
        <v>17</v>
      </c>
      <c r="VS50" s="1">
        <v>2024</v>
      </c>
      <c r="VT50" s="1" t="s">
        <v>66</v>
      </c>
      <c r="VU50" s="1">
        <v>245651.11464775761</v>
      </c>
      <c r="VV50" s="1">
        <v>5123318.5714479852</v>
      </c>
      <c r="VW50" s="1">
        <v>4.79476556497501E-2</v>
      </c>
      <c r="VX50" s="1"/>
      <c r="VY50" s="22">
        <v>9471</v>
      </c>
      <c r="VZ50" s="1" t="s">
        <v>61</v>
      </c>
      <c r="WA50" s="1">
        <v>2024</v>
      </c>
      <c r="WB50" s="1" t="s">
        <v>66</v>
      </c>
      <c r="WC50" s="1">
        <v>3488875.5439166198</v>
      </c>
      <c r="WD50" s="1">
        <v>64811890.820126347</v>
      </c>
      <c r="WE50" s="1">
        <v>5.3830794006602303E-2</v>
      </c>
      <c r="WF50" s="1"/>
      <c r="WG50" s="22">
        <v>10391</v>
      </c>
      <c r="WH50" s="1" t="s">
        <v>44</v>
      </c>
      <c r="WI50" s="1">
        <v>2024</v>
      </c>
      <c r="WJ50" s="1" t="s">
        <v>66</v>
      </c>
      <c r="WK50" s="1">
        <v>490233.07676933211</v>
      </c>
      <c r="WL50" s="1">
        <v>8046732.0684004631</v>
      </c>
      <c r="WM50" s="1">
        <v>6.0923250905107001E-2</v>
      </c>
      <c r="WN50" s="1"/>
      <c r="WO50" s="22">
        <v>11311</v>
      </c>
      <c r="WP50" s="1" t="s">
        <v>38</v>
      </c>
      <c r="WQ50" s="1">
        <v>2024</v>
      </c>
      <c r="WR50" s="1" t="s">
        <v>66</v>
      </c>
      <c r="WS50" s="1">
        <v>368492.36878618348</v>
      </c>
      <c r="WT50" s="1">
        <v>7153354.2877160665</v>
      </c>
      <c r="WU50" s="1">
        <v>5.1513227776089403E-2</v>
      </c>
      <c r="WV50" s="1"/>
      <c r="WW50" s="22">
        <v>12231</v>
      </c>
      <c r="WX50" s="1" t="s">
        <v>31</v>
      </c>
      <c r="WY50" s="1">
        <v>2024</v>
      </c>
      <c r="WZ50" s="1" t="s">
        <v>66</v>
      </c>
      <c r="XA50" s="1">
        <v>516042.29969620361</v>
      </c>
      <c r="XB50" s="1">
        <v>10948294.03609846</v>
      </c>
      <c r="XC50" s="1">
        <v>4.7134494012923002E-2</v>
      </c>
      <c r="XD50" s="1"/>
      <c r="XE50" s="22">
        <v>13151</v>
      </c>
      <c r="XF50" s="1" t="s">
        <v>51</v>
      </c>
      <c r="XG50" s="1">
        <v>2024</v>
      </c>
      <c r="XH50" s="1" t="s">
        <v>66</v>
      </c>
      <c r="XI50" s="1">
        <v>236694.71675876001</v>
      </c>
      <c r="XJ50" s="1">
        <v>5413637.436055948</v>
      </c>
      <c r="XK50" s="1">
        <v>4.3721937339638597E-2</v>
      </c>
      <c r="XL50" s="1"/>
      <c r="XM50" s="22">
        <v>14071</v>
      </c>
      <c r="XN50" s="1" t="s">
        <v>57</v>
      </c>
      <c r="XO50" s="1">
        <v>2024</v>
      </c>
      <c r="XP50" s="1" t="s">
        <v>66</v>
      </c>
      <c r="XQ50" s="1">
        <v>474025.17199425411</v>
      </c>
      <c r="XR50" s="1">
        <v>8828421.583522588</v>
      </c>
      <c r="XS50" s="1">
        <v>5.3693082903854203E-2</v>
      </c>
      <c r="XT50" s="1"/>
    </row>
    <row r="51" spans="1:644" x14ac:dyDescent="0.25">
      <c r="A51" s="2">
        <v>42</v>
      </c>
      <c r="B51" s="1" t="s">
        <v>17</v>
      </c>
      <c r="C51" s="1" t="s">
        <v>66</v>
      </c>
      <c r="D51" s="1">
        <v>4.3635736823664582E-2</v>
      </c>
      <c r="E51" s="1">
        <v>4.4981007465879339E-2</v>
      </c>
      <c r="F51" s="1">
        <v>4.6015267625202583E-2</v>
      </c>
      <c r="G51" s="1">
        <v>4.5160442187354453E-2</v>
      </c>
      <c r="H51" s="1">
        <v>4.5167963426959321E-2</v>
      </c>
      <c r="I51" s="1">
        <v>4.5842493972686971E-2</v>
      </c>
      <c r="J51" s="1">
        <v>4.7947655649750183E-2</v>
      </c>
      <c r="K51" s="1">
        <v>4.794765564975019E-2</v>
      </c>
      <c r="L51" s="1">
        <v>4.7947655649750197E-2</v>
      </c>
      <c r="M51" s="1">
        <v>4.7947655649750197E-2</v>
      </c>
      <c r="N51" s="1">
        <v>4.7947655649750197E-2</v>
      </c>
      <c r="O51" s="1">
        <v>4.6412835431863468E-2</v>
      </c>
      <c r="P51" s="1"/>
      <c r="AC51" s="22">
        <v>916</v>
      </c>
      <c r="AD51" s="1" t="s">
        <v>17</v>
      </c>
      <c r="AE51" s="1">
        <v>2014</v>
      </c>
      <c r="AF51" s="1" t="s">
        <v>67</v>
      </c>
      <c r="AG51" s="1">
        <v>24363.3</v>
      </c>
      <c r="AH51" s="1">
        <v>4088215.6</v>
      </c>
      <c r="AI51" s="1">
        <v>5.9593970533256E-3</v>
      </c>
      <c r="AJ51" s="1"/>
      <c r="AK51" s="22">
        <v>2112</v>
      </c>
      <c r="AL51" s="1" t="s">
        <v>61</v>
      </c>
      <c r="AM51" s="1">
        <v>2014</v>
      </c>
      <c r="AN51" s="1" t="s">
        <v>67</v>
      </c>
      <c r="AO51" s="1">
        <v>274770.59999999998</v>
      </c>
      <c r="AP51" s="1">
        <v>40350049.200000003</v>
      </c>
      <c r="AQ51" s="1">
        <v>6.8096719941544998E-3</v>
      </c>
      <c r="AR51" s="1"/>
      <c r="AS51" s="22">
        <v>3308</v>
      </c>
      <c r="AT51" s="1" t="s">
        <v>44</v>
      </c>
      <c r="AU51" s="1">
        <v>2014</v>
      </c>
      <c r="AV51" s="1" t="s">
        <v>67</v>
      </c>
      <c r="AW51" s="1">
        <v>74679.5</v>
      </c>
      <c r="AX51" s="1">
        <v>6735816.8000000007</v>
      </c>
      <c r="AY51" s="1">
        <v>1.10869256420394E-2</v>
      </c>
      <c r="AZ51" s="1"/>
      <c r="BA51" s="22">
        <v>4504</v>
      </c>
      <c r="BB51" s="1" t="s">
        <v>38</v>
      </c>
      <c r="BC51" s="1">
        <v>2014</v>
      </c>
      <c r="BD51" s="1" t="s">
        <v>67</v>
      </c>
      <c r="BE51" s="1">
        <v>65615.399999999994</v>
      </c>
      <c r="BF51" s="1">
        <v>6538596.7000000002</v>
      </c>
      <c r="BG51" s="1">
        <v>1.0035089027588999E-2</v>
      </c>
      <c r="BH51" s="1"/>
      <c r="BI51" s="22">
        <v>5700</v>
      </c>
      <c r="BJ51" s="1" t="s">
        <v>31</v>
      </c>
      <c r="BK51" s="1">
        <v>2014</v>
      </c>
      <c r="BL51" s="1" t="s">
        <v>67</v>
      </c>
      <c r="BM51" s="1">
        <v>74786.600000000006</v>
      </c>
      <c r="BN51" s="1">
        <v>9155477.5</v>
      </c>
      <c r="BO51" s="1">
        <v>8.1685089608925007E-3</v>
      </c>
      <c r="BP51" s="1"/>
      <c r="BQ51" s="22">
        <v>6896</v>
      </c>
      <c r="BR51" s="1" t="s">
        <v>51</v>
      </c>
      <c r="BS51" s="1">
        <v>2014</v>
      </c>
      <c r="BT51" s="1" t="s">
        <v>67</v>
      </c>
      <c r="BU51" s="1">
        <v>51513.2</v>
      </c>
      <c r="BV51" s="1">
        <v>4981875.5</v>
      </c>
      <c r="BW51" s="1">
        <v>1.03401219079039E-2</v>
      </c>
      <c r="BX51" s="1"/>
      <c r="BY51" s="22">
        <v>8092</v>
      </c>
      <c r="BZ51" s="1" t="s">
        <v>57</v>
      </c>
      <c r="CA51" s="1">
        <v>2014</v>
      </c>
      <c r="CB51" s="1" t="s">
        <v>67</v>
      </c>
      <c r="CC51" s="1">
        <v>79399.399999999994</v>
      </c>
      <c r="CD51" s="1">
        <v>11026913.800000001</v>
      </c>
      <c r="CE51" s="1">
        <v>7.2005097201357999E-3</v>
      </c>
      <c r="CF51" s="1"/>
      <c r="CG51" s="22">
        <v>962</v>
      </c>
      <c r="CH51" s="1" t="s">
        <v>17</v>
      </c>
      <c r="CI51" s="1">
        <v>2015</v>
      </c>
      <c r="CJ51" s="1" t="s">
        <v>67</v>
      </c>
      <c r="CK51" s="1">
        <v>22442.2</v>
      </c>
      <c r="CL51" s="1">
        <v>3555133.8</v>
      </c>
      <c r="CM51" s="1">
        <v>6.3126175448023E-3</v>
      </c>
      <c r="CN51" s="1"/>
      <c r="CO51" s="22">
        <v>2158</v>
      </c>
      <c r="CP51" s="1" t="s">
        <v>61</v>
      </c>
      <c r="CQ51" s="1">
        <v>2015</v>
      </c>
      <c r="CR51" s="1" t="s">
        <v>67</v>
      </c>
      <c r="CS51" s="1">
        <v>290629.3</v>
      </c>
      <c r="CT51" s="1">
        <v>41208556.399999999</v>
      </c>
      <c r="CU51" s="1">
        <v>7.0526445328231999E-3</v>
      </c>
      <c r="CV51" s="1"/>
      <c r="CW51" s="22">
        <v>3354</v>
      </c>
      <c r="CX51" s="1" t="s">
        <v>44</v>
      </c>
      <c r="CY51" s="1">
        <v>2015</v>
      </c>
      <c r="CZ51" s="1" t="s">
        <v>67</v>
      </c>
      <c r="DA51" s="1">
        <v>69670</v>
      </c>
      <c r="DB51" s="1">
        <v>6404349.4000000004</v>
      </c>
      <c r="DC51" s="1">
        <v>1.0878544509142401E-2</v>
      </c>
      <c r="DD51" s="1"/>
      <c r="DE51" s="22">
        <v>4550</v>
      </c>
      <c r="DF51" s="1" t="s">
        <v>38</v>
      </c>
      <c r="DG51" s="1">
        <v>2015</v>
      </c>
      <c r="DH51" s="1" t="s">
        <v>67</v>
      </c>
      <c r="DI51" s="1">
        <v>55400.7</v>
      </c>
      <c r="DJ51" s="1">
        <v>5531517.5999999996</v>
      </c>
      <c r="DK51" s="1">
        <v>1.00154612180932E-2</v>
      </c>
      <c r="DL51" s="1"/>
      <c r="DM51" s="22">
        <v>5746</v>
      </c>
      <c r="DN51" s="1" t="s">
        <v>31</v>
      </c>
      <c r="DO51" s="1">
        <v>2015</v>
      </c>
      <c r="DP51" s="1" t="s">
        <v>67</v>
      </c>
      <c r="DQ51" s="1">
        <v>65255.7</v>
      </c>
      <c r="DR51" s="1">
        <v>7894528</v>
      </c>
      <c r="DS51" s="1">
        <v>8.2659406616835997E-3</v>
      </c>
      <c r="DT51" s="1"/>
      <c r="DU51" s="22">
        <v>6942</v>
      </c>
      <c r="DV51" s="1" t="s">
        <v>51</v>
      </c>
      <c r="DW51" s="1">
        <v>2015</v>
      </c>
      <c r="DX51" s="1" t="s">
        <v>67</v>
      </c>
      <c r="DY51" s="1">
        <v>44752.2</v>
      </c>
      <c r="DZ51" s="1">
        <v>4209274.5999999996</v>
      </c>
      <c r="EA51" s="1">
        <v>1.0631808150506499E-2</v>
      </c>
      <c r="EB51" s="1"/>
      <c r="EC51" s="22">
        <v>8138</v>
      </c>
      <c r="ED51" s="1" t="s">
        <v>57</v>
      </c>
      <c r="EE51" s="1">
        <v>2015</v>
      </c>
      <c r="EF51" s="1" t="s">
        <v>67</v>
      </c>
      <c r="EG51" s="1">
        <v>69283.5</v>
      </c>
      <c r="EH51" s="1">
        <v>9729477.0999999996</v>
      </c>
      <c r="EI51" s="1">
        <v>7.1209890611695003E-3</v>
      </c>
      <c r="EJ51" s="1"/>
      <c r="EK51" s="22">
        <v>1008</v>
      </c>
      <c r="EL51" s="1" t="s">
        <v>17</v>
      </c>
      <c r="EM51" s="1">
        <v>2016</v>
      </c>
      <c r="EN51" s="1" t="s">
        <v>67</v>
      </c>
      <c r="EO51" s="1">
        <v>22604.7</v>
      </c>
      <c r="EP51" s="1">
        <v>3463407</v>
      </c>
      <c r="EQ51" s="1">
        <v>6.5267235412990003E-3</v>
      </c>
      <c r="ER51" s="1"/>
      <c r="ES51" s="22">
        <v>2204</v>
      </c>
      <c r="ET51" s="1" t="s">
        <v>61</v>
      </c>
      <c r="EU51" s="1">
        <v>2016</v>
      </c>
      <c r="EV51" s="1" t="s">
        <v>67</v>
      </c>
      <c r="EW51" s="1">
        <v>303548.5</v>
      </c>
      <c r="EX51" s="1">
        <v>42141395.200000003</v>
      </c>
      <c r="EY51" s="1">
        <v>7.2030956393204001E-3</v>
      </c>
      <c r="EZ51" s="1"/>
      <c r="FA51" s="22">
        <v>3400</v>
      </c>
      <c r="FB51" s="1" t="s">
        <v>44</v>
      </c>
      <c r="FC51" s="1">
        <v>2016</v>
      </c>
      <c r="FD51" s="1" t="s">
        <v>67</v>
      </c>
      <c r="FE51" s="1">
        <v>62461.599999999999</v>
      </c>
      <c r="FF51" s="1">
        <v>5868597.7999999998</v>
      </c>
      <c r="FG51" s="1">
        <v>1.0643360156662901E-2</v>
      </c>
      <c r="FH51" s="1"/>
      <c r="FI51" s="22">
        <v>4596</v>
      </c>
      <c r="FJ51" s="1" t="s">
        <v>38</v>
      </c>
      <c r="FK51" s="1">
        <v>2016</v>
      </c>
      <c r="FL51" s="1" t="s">
        <v>67</v>
      </c>
      <c r="FM51" s="1">
        <v>56619.8</v>
      </c>
      <c r="FN51" s="1">
        <v>5582986.5</v>
      </c>
      <c r="FO51" s="1">
        <v>1.01414896847771E-2</v>
      </c>
      <c r="FP51" s="1"/>
      <c r="FQ51" s="22">
        <v>5792</v>
      </c>
      <c r="FR51" s="1" t="s">
        <v>31</v>
      </c>
      <c r="FS51" s="1">
        <v>2016</v>
      </c>
      <c r="FT51" s="1" t="s">
        <v>67</v>
      </c>
      <c r="FU51" s="1">
        <v>66902.100000000006</v>
      </c>
      <c r="FV51" s="1">
        <v>8130820.9000000004</v>
      </c>
      <c r="FW51" s="1">
        <v>8.2282097739970993E-3</v>
      </c>
      <c r="FX51" s="1"/>
      <c r="FY51" s="22">
        <v>6988</v>
      </c>
      <c r="FZ51" s="1" t="s">
        <v>51</v>
      </c>
      <c r="GA51" s="1">
        <v>2016</v>
      </c>
      <c r="GB51" s="1" t="s">
        <v>67</v>
      </c>
      <c r="GC51" s="1">
        <v>47650.3</v>
      </c>
      <c r="GD51" s="1">
        <v>4230502.5999999996</v>
      </c>
      <c r="GE51" s="1">
        <v>1.12635080285732E-2</v>
      </c>
      <c r="GF51" s="1"/>
      <c r="GG51" s="22">
        <v>8184</v>
      </c>
      <c r="GH51" s="1" t="s">
        <v>57</v>
      </c>
      <c r="GI51" s="1">
        <v>2016</v>
      </c>
      <c r="GJ51" s="1" t="s">
        <v>67</v>
      </c>
      <c r="GK51" s="1">
        <v>74140.600000000006</v>
      </c>
      <c r="GL51" s="1">
        <v>10773649.5</v>
      </c>
      <c r="GM51" s="1">
        <v>6.8816606666105996E-3</v>
      </c>
      <c r="GN51" s="1"/>
      <c r="GO51" s="22">
        <v>1054</v>
      </c>
      <c r="GP51" s="1" t="s">
        <v>17</v>
      </c>
      <c r="GQ51" s="1">
        <v>2017</v>
      </c>
      <c r="GR51" s="1" t="s">
        <v>67</v>
      </c>
      <c r="GS51" s="1">
        <v>24760.400000000001</v>
      </c>
      <c r="GT51" s="1">
        <v>3719735.5</v>
      </c>
      <c r="GU51" s="1">
        <v>6.6564947964713999E-3</v>
      </c>
      <c r="GV51" s="1"/>
      <c r="GW51" s="22">
        <v>2250</v>
      </c>
      <c r="GX51" s="1" t="s">
        <v>61</v>
      </c>
      <c r="GY51" s="1">
        <v>2017</v>
      </c>
      <c r="GZ51" s="1" t="s">
        <v>67</v>
      </c>
      <c r="HA51" s="1">
        <v>323545.7</v>
      </c>
      <c r="HB51" s="1">
        <v>44107004.100000001</v>
      </c>
      <c r="HC51" s="1">
        <v>7.3354721455678997E-3</v>
      </c>
      <c r="HD51" s="1"/>
      <c r="HE51" s="22">
        <v>3446</v>
      </c>
      <c r="HF51" s="1" t="s">
        <v>44</v>
      </c>
      <c r="HG51" s="1">
        <v>2017</v>
      </c>
      <c r="HH51" s="1" t="s">
        <v>67</v>
      </c>
      <c r="HI51" s="1">
        <v>64480.6</v>
      </c>
      <c r="HJ51" s="1">
        <v>5855367.5</v>
      </c>
      <c r="HK51" s="1">
        <v>1.10122208384016E-2</v>
      </c>
      <c r="HL51" s="1"/>
      <c r="HM51" s="22">
        <v>4642</v>
      </c>
      <c r="HN51" s="1" t="s">
        <v>38</v>
      </c>
      <c r="HO51" s="1">
        <v>2017</v>
      </c>
      <c r="HP51" s="1" t="s">
        <v>67</v>
      </c>
      <c r="HQ51" s="1">
        <v>60634.5</v>
      </c>
      <c r="HR51" s="1">
        <v>5923445.7000000002</v>
      </c>
      <c r="HS51" s="1">
        <v>1.02363561803225E-2</v>
      </c>
      <c r="HT51" s="1"/>
      <c r="HU51" s="22">
        <v>5838</v>
      </c>
      <c r="HV51" s="1" t="s">
        <v>31</v>
      </c>
      <c r="HW51" s="1">
        <v>2017</v>
      </c>
      <c r="HX51" s="1" t="s">
        <v>67</v>
      </c>
      <c r="HY51" s="1">
        <v>72134.100000000006</v>
      </c>
      <c r="HZ51" s="1">
        <v>8686095.3000000007</v>
      </c>
      <c r="IA51" s="1">
        <v>8.3045485351743008E-3</v>
      </c>
      <c r="IB51" s="1"/>
      <c r="IC51" s="22">
        <v>7034</v>
      </c>
      <c r="ID51" s="1" t="s">
        <v>51</v>
      </c>
      <c r="IE51" s="1">
        <v>2017</v>
      </c>
      <c r="IF51" s="1" t="s">
        <v>67</v>
      </c>
      <c r="IG51" s="1">
        <v>50713.7</v>
      </c>
      <c r="IH51" s="1">
        <v>4472691.8</v>
      </c>
      <c r="II51" s="1">
        <v>1.1338518786382701E-2</v>
      </c>
      <c r="IJ51" s="1"/>
      <c r="IK51" s="22">
        <v>8230</v>
      </c>
      <c r="IL51" s="1" t="s">
        <v>57</v>
      </c>
      <c r="IM51" s="1">
        <v>2017</v>
      </c>
      <c r="IN51" s="1" t="s">
        <v>67</v>
      </c>
      <c r="IO51" s="1">
        <v>73051.899999999994</v>
      </c>
      <c r="IP51" s="1">
        <v>10750260.5</v>
      </c>
      <c r="IQ51" s="1">
        <v>6.7953609124169001E-3</v>
      </c>
      <c r="IR51" s="1"/>
      <c r="IS51" s="22">
        <v>1100</v>
      </c>
      <c r="IT51" s="1" t="s">
        <v>17</v>
      </c>
      <c r="IU51" s="1">
        <v>2018</v>
      </c>
      <c r="IV51" s="1" t="s">
        <v>67</v>
      </c>
      <c r="IW51" s="1">
        <v>25640.1</v>
      </c>
      <c r="IX51" s="1">
        <v>3904165.4</v>
      </c>
      <c r="IY51" s="1">
        <v>6.5673703270870002E-3</v>
      </c>
      <c r="IZ51" s="1"/>
      <c r="JA51" s="22">
        <v>2296</v>
      </c>
      <c r="JB51" s="1" t="s">
        <v>61</v>
      </c>
      <c r="JC51" s="1">
        <v>2018</v>
      </c>
      <c r="JD51" s="1" t="s">
        <v>67</v>
      </c>
      <c r="JE51" s="1">
        <v>343498.8</v>
      </c>
      <c r="JF51" s="1">
        <v>46669099.200000003</v>
      </c>
      <c r="JG51" s="1">
        <v>7.3603049102777002E-3</v>
      </c>
      <c r="JH51" s="1"/>
      <c r="JI51" s="22">
        <v>3492</v>
      </c>
      <c r="JJ51" s="1" t="s">
        <v>44</v>
      </c>
      <c r="JK51" s="1">
        <v>2018</v>
      </c>
      <c r="JL51" s="1" t="s">
        <v>67</v>
      </c>
      <c r="JM51" s="1">
        <v>67970.3</v>
      </c>
      <c r="JN51" s="1">
        <v>6336724.7000000002</v>
      </c>
      <c r="JO51" s="1">
        <v>1.07264088654506E-2</v>
      </c>
      <c r="JP51" s="1"/>
      <c r="JQ51" s="22">
        <v>4688</v>
      </c>
      <c r="JR51" s="1" t="s">
        <v>38</v>
      </c>
      <c r="JS51" s="1">
        <v>2018</v>
      </c>
      <c r="JT51" s="1" t="s">
        <v>67</v>
      </c>
      <c r="JU51" s="1">
        <v>64878.400000000001</v>
      </c>
      <c r="JV51" s="1">
        <v>6390706</v>
      </c>
      <c r="JW51" s="1">
        <v>1.0151992596748999E-2</v>
      </c>
      <c r="JX51" s="1"/>
      <c r="JY51" s="22">
        <v>5884</v>
      </c>
      <c r="JZ51" s="1" t="s">
        <v>31</v>
      </c>
      <c r="KA51" s="1">
        <v>2018</v>
      </c>
      <c r="KB51" s="1" t="s">
        <v>67</v>
      </c>
      <c r="KC51" s="1">
        <v>77901.3</v>
      </c>
      <c r="KD51" s="1">
        <v>9443218.3000000007</v>
      </c>
      <c r="KE51" s="1">
        <v>8.2494439422203993E-3</v>
      </c>
      <c r="KF51" s="1"/>
      <c r="KG51" s="22">
        <v>7080</v>
      </c>
      <c r="KH51" s="1" t="s">
        <v>51</v>
      </c>
      <c r="KI51" s="1">
        <v>2018</v>
      </c>
      <c r="KJ51" s="1" t="s">
        <v>67</v>
      </c>
      <c r="KK51" s="1">
        <v>53415.5</v>
      </c>
      <c r="KL51" s="1">
        <v>4803387.8</v>
      </c>
      <c r="KM51" s="1">
        <v>1.11203804947832E-2</v>
      </c>
      <c r="KN51" s="1"/>
      <c r="KO51" s="22">
        <v>8276</v>
      </c>
      <c r="KP51" s="1" t="s">
        <v>57</v>
      </c>
      <c r="KQ51" s="1">
        <v>2018</v>
      </c>
      <c r="KR51" s="1" t="s">
        <v>67</v>
      </c>
      <c r="KS51" s="1">
        <v>74274.600000000006</v>
      </c>
      <c r="KT51" s="1">
        <v>11172914.4</v>
      </c>
      <c r="KU51" s="1">
        <v>6.6477373173107999E-3</v>
      </c>
      <c r="KV51" s="1"/>
      <c r="KW51" s="22">
        <v>1146</v>
      </c>
      <c r="KX51" s="1" t="s">
        <v>17</v>
      </c>
      <c r="KY51" s="1">
        <v>2019</v>
      </c>
      <c r="KZ51" s="1" t="s">
        <v>67</v>
      </c>
      <c r="LA51" s="1">
        <v>26370.5</v>
      </c>
      <c r="LB51" s="1">
        <v>3955328</v>
      </c>
      <c r="LC51" s="1">
        <v>6.6670829827513E-3</v>
      </c>
      <c r="LD51" s="1"/>
      <c r="LE51" s="22">
        <v>2342</v>
      </c>
      <c r="LF51" s="1" t="s">
        <v>61</v>
      </c>
      <c r="LG51" s="1">
        <v>2019</v>
      </c>
      <c r="LH51" s="1" t="s">
        <v>67</v>
      </c>
      <c r="LI51" s="1">
        <v>359250.7</v>
      </c>
      <c r="LJ51" s="1">
        <v>48356774.5</v>
      </c>
      <c r="LK51" s="1">
        <v>7.4291700328357997E-3</v>
      </c>
      <c r="LL51" s="1"/>
      <c r="LM51" s="22">
        <v>3538</v>
      </c>
      <c r="LN51" s="1" t="s">
        <v>44</v>
      </c>
      <c r="LO51" s="1">
        <v>2019</v>
      </c>
      <c r="LP51" s="1" t="s">
        <v>67</v>
      </c>
      <c r="LQ51" s="1">
        <v>66835.5</v>
      </c>
      <c r="LR51" s="1">
        <v>6269787.0999999996</v>
      </c>
      <c r="LS51" s="1">
        <v>1.0659931339614299E-2</v>
      </c>
      <c r="LT51" s="1"/>
      <c r="LU51" s="22">
        <v>4734</v>
      </c>
      <c r="LV51" s="1" t="s">
        <v>38</v>
      </c>
      <c r="LW51" s="1">
        <v>2019</v>
      </c>
      <c r="LX51" s="1" t="s">
        <v>67</v>
      </c>
      <c r="LY51" s="1">
        <v>63923.199999999997</v>
      </c>
      <c r="LZ51" s="1">
        <v>6182094.5</v>
      </c>
      <c r="MA51" s="1">
        <v>1.03400554617856E-2</v>
      </c>
      <c r="MB51" s="1"/>
      <c r="MC51" s="22">
        <v>5930</v>
      </c>
      <c r="MD51" s="1" t="s">
        <v>31</v>
      </c>
      <c r="ME51" s="1">
        <v>2019</v>
      </c>
      <c r="MF51" s="1" t="s">
        <v>67</v>
      </c>
      <c r="MG51" s="1">
        <v>77222.7</v>
      </c>
      <c r="MH51" s="1">
        <v>9237079</v>
      </c>
      <c r="MI51" s="1">
        <v>8.3600778990846995E-3</v>
      </c>
      <c r="MJ51" s="1"/>
      <c r="MK51" s="22">
        <v>7126</v>
      </c>
      <c r="ML51" s="1" t="s">
        <v>51</v>
      </c>
      <c r="MM51" s="1">
        <v>2019</v>
      </c>
      <c r="MN51" s="1" t="s">
        <v>67</v>
      </c>
      <c r="MO51" s="1">
        <v>51191.6</v>
      </c>
      <c r="MP51" s="1">
        <v>4608662</v>
      </c>
      <c r="MQ51" s="1">
        <v>1.1107692427867299E-2</v>
      </c>
      <c r="MR51" s="1"/>
      <c r="MS51" s="22">
        <v>8322</v>
      </c>
      <c r="MT51" s="1" t="s">
        <v>57</v>
      </c>
      <c r="MU51" s="1">
        <v>2019</v>
      </c>
      <c r="MV51" s="1" t="s">
        <v>67</v>
      </c>
      <c r="MW51" s="1">
        <v>74428.600000000006</v>
      </c>
      <c r="MX51" s="1">
        <v>11338077</v>
      </c>
      <c r="MY51" s="1">
        <v>6.5644817899896003E-3</v>
      </c>
      <c r="MZ51" s="1"/>
      <c r="NA51" s="22">
        <v>1192</v>
      </c>
      <c r="NB51" s="1" t="s">
        <v>17</v>
      </c>
      <c r="NC51" s="1">
        <v>2020</v>
      </c>
      <c r="ND51" s="1" t="s">
        <v>67</v>
      </c>
      <c r="NE51" s="1">
        <v>18759</v>
      </c>
      <c r="NF51" s="1">
        <v>3784752.3</v>
      </c>
      <c r="NG51" s="1">
        <v>4.9564670322018002E-3</v>
      </c>
      <c r="NH51" s="1"/>
      <c r="NI51" s="22">
        <v>2388</v>
      </c>
      <c r="NJ51" s="1" t="s">
        <v>61</v>
      </c>
      <c r="NK51" s="1">
        <v>2020</v>
      </c>
      <c r="NL51" s="1" t="s">
        <v>67</v>
      </c>
      <c r="NM51" s="1">
        <v>227488</v>
      </c>
      <c r="NN51" s="1">
        <v>47421769.399999999</v>
      </c>
      <c r="NO51" s="1">
        <v>4.7971217202198999E-3</v>
      </c>
      <c r="NP51" s="1"/>
      <c r="NQ51" s="22">
        <v>3584</v>
      </c>
      <c r="NR51" s="1" t="s">
        <v>44</v>
      </c>
      <c r="NS51" s="1">
        <v>2020</v>
      </c>
      <c r="NT51" s="1" t="s">
        <v>67</v>
      </c>
      <c r="NU51" s="1">
        <v>51465.4</v>
      </c>
      <c r="NV51" s="1">
        <v>5955345.3666666672</v>
      </c>
      <c r="NW51" s="1">
        <v>8.6418833554243006E-3</v>
      </c>
      <c r="NX51" s="1"/>
      <c r="NY51" s="22">
        <v>4780</v>
      </c>
      <c r="NZ51" s="1" t="s">
        <v>38</v>
      </c>
      <c r="OA51" s="1">
        <v>2020</v>
      </c>
      <c r="OB51" s="1" t="s">
        <v>67</v>
      </c>
      <c r="OC51" s="1">
        <v>55603.7</v>
      </c>
      <c r="OD51" s="1">
        <v>5990228.4000000004</v>
      </c>
      <c r="OE51" s="1">
        <v>9.2824006510336E-3</v>
      </c>
      <c r="OF51" s="1"/>
      <c r="OG51" s="22">
        <v>5976</v>
      </c>
      <c r="OH51" s="1" t="s">
        <v>31</v>
      </c>
      <c r="OI51" s="1">
        <v>2020</v>
      </c>
      <c r="OJ51" s="1" t="s">
        <v>67</v>
      </c>
      <c r="OK51" s="1">
        <v>64928.2</v>
      </c>
      <c r="OL51" s="1">
        <v>9257180.0999999996</v>
      </c>
      <c r="OM51" s="1">
        <v>7.0138205477929001E-3</v>
      </c>
      <c r="ON51" s="1"/>
      <c r="OO51" s="22">
        <v>7172</v>
      </c>
      <c r="OP51" s="1" t="s">
        <v>51</v>
      </c>
      <c r="OQ51" s="1">
        <v>2020</v>
      </c>
      <c r="OR51" s="1" t="s">
        <v>67</v>
      </c>
      <c r="OS51" s="1">
        <v>39721.4</v>
      </c>
      <c r="OT51" s="1">
        <v>4352046.4000000004</v>
      </c>
      <c r="OU51" s="1">
        <v>9.1270626158765009E-3</v>
      </c>
      <c r="OV51" s="1"/>
      <c r="OW51" s="22">
        <v>8368</v>
      </c>
      <c r="OX51" s="1" t="s">
        <v>57</v>
      </c>
      <c r="OY51" s="1">
        <v>2020</v>
      </c>
      <c r="OZ51" s="1" t="s">
        <v>67</v>
      </c>
      <c r="PA51" s="1">
        <v>67040.5</v>
      </c>
      <c r="PB51" s="1">
        <v>11082248.733333331</v>
      </c>
      <c r="PC51" s="1">
        <v>6.0493588993679997E-3</v>
      </c>
      <c r="PD51" s="1"/>
      <c r="PE51" s="22">
        <v>8414</v>
      </c>
      <c r="PF51" s="1" t="s">
        <v>17</v>
      </c>
      <c r="PG51" s="1">
        <v>2021</v>
      </c>
      <c r="PH51" s="1" t="s">
        <v>67</v>
      </c>
      <c r="PI51" s="1">
        <v>22913.74324748736</v>
      </c>
      <c r="PJ51" s="1">
        <v>4622999.2247741111</v>
      </c>
      <c r="PK51" s="1">
        <v>4.9564670322018002E-3</v>
      </c>
      <c r="PL51" s="1"/>
      <c r="PM51" s="22">
        <v>9334</v>
      </c>
      <c r="PN51" s="1" t="s">
        <v>61</v>
      </c>
      <c r="PO51" s="1">
        <v>2021</v>
      </c>
      <c r="PP51" s="1" t="s">
        <v>67</v>
      </c>
      <c r="PQ51" s="1">
        <v>252278.89845977991</v>
      </c>
      <c r="PR51" s="1">
        <v>52589638.782026872</v>
      </c>
      <c r="PS51" s="1">
        <v>4.7971217202198999E-3</v>
      </c>
      <c r="PT51" s="1"/>
      <c r="PU51" s="22">
        <v>10254</v>
      </c>
      <c r="PV51" s="1" t="s">
        <v>44</v>
      </c>
      <c r="PW51" s="1">
        <v>2021</v>
      </c>
      <c r="PX51" s="1" t="s">
        <v>67</v>
      </c>
      <c r="PY51" s="1">
        <v>59987.177718612453</v>
      </c>
      <c r="PZ51" s="1">
        <v>6941447.2808129201</v>
      </c>
      <c r="QA51" s="1">
        <v>8.6418833554243006E-3</v>
      </c>
      <c r="QB51" s="1"/>
      <c r="QC51" s="22">
        <v>11174</v>
      </c>
      <c r="QD51" s="1" t="s">
        <v>38</v>
      </c>
      <c r="QE51" s="1">
        <v>2021</v>
      </c>
      <c r="QF51" s="1" t="s">
        <v>67</v>
      </c>
      <c r="QG51" s="1">
        <v>62291.859600140451</v>
      </c>
      <c r="QH51" s="1">
        <v>6710748.8614170318</v>
      </c>
      <c r="QI51" s="1">
        <v>9.2824006510336E-3</v>
      </c>
      <c r="QJ51" s="1"/>
      <c r="QK51" s="22">
        <v>12094</v>
      </c>
      <c r="QL51" s="1" t="s">
        <v>31</v>
      </c>
      <c r="QM51" s="1">
        <v>2021</v>
      </c>
      <c r="QN51" s="1" t="s">
        <v>67</v>
      </c>
      <c r="QO51" s="1">
        <v>71654.127025942726</v>
      </c>
      <c r="QP51" s="1">
        <v>10216133.49495957</v>
      </c>
      <c r="QQ51" s="1">
        <v>7.0138205477929001E-3</v>
      </c>
      <c r="QR51" s="1"/>
      <c r="QS51" s="22">
        <v>13014</v>
      </c>
      <c r="QT51" s="1" t="s">
        <v>51</v>
      </c>
      <c r="QU51" s="1">
        <v>2021</v>
      </c>
      <c r="QV51" s="1" t="s">
        <v>67</v>
      </c>
      <c r="QW51" s="1">
        <v>45379.910716757091</v>
      </c>
      <c r="QX51" s="1">
        <v>4972017.0252605537</v>
      </c>
      <c r="QY51" s="1">
        <v>9.1270626158765009E-3</v>
      </c>
      <c r="QZ51" s="1"/>
      <c r="RA51" s="22">
        <v>13934</v>
      </c>
      <c r="RB51" s="1" t="s">
        <v>57</v>
      </c>
      <c r="RC51" s="1">
        <v>2021</v>
      </c>
      <c r="RD51" s="1" t="s">
        <v>67</v>
      </c>
      <c r="RE51" s="1">
        <v>66842.591332331911</v>
      </c>
      <c r="RF51" s="1">
        <v>11049533.09007922</v>
      </c>
      <c r="RG51" s="1">
        <v>6.0493588993679997E-3</v>
      </c>
      <c r="RH51" s="1"/>
      <c r="RI51" s="22">
        <v>8460</v>
      </c>
      <c r="RJ51" s="1" t="s">
        <v>17</v>
      </c>
      <c r="RK51" s="1">
        <v>2022</v>
      </c>
      <c r="RL51" s="1" t="s">
        <v>67</v>
      </c>
      <c r="RM51" s="1">
        <v>24817.537923994889</v>
      </c>
      <c r="RN51" s="1">
        <v>5007102.3902221443</v>
      </c>
      <c r="RO51" s="1">
        <v>4.9564670322018002E-3</v>
      </c>
      <c r="RP51" s="1"/>
      <c r="RQ51" s="22">
        <v>9380</v>
      </c>
      <c r="RR51" s="1" t="s">
        <v>61</v>
      </c>
      <c r="RS51" s="1">
        <v>2022</v>
      </c>
      <c r="RT51" s="1" t="s">
        <v>67</v>
      </c>
      <c r="RU51" s="1">
        <v>277054.88253777887</v>
      </c>
      <c r="RV51" s="1">
        <v>57754399.13688051</v>
      </c>
      <c r="RW51" s="1">
        <v>4.7971217202198999E-3</v>
      </c>
      <c r="RX51" s="1"/>
      <c r="RY51" s="22">
        <v>10300</v>
      </c>
      <c r="RZ51" s="1" t="s">
        <v>44</v>
      </c>
      <c r="SA51" s="1">
        <v>2022</v>
      </c>
      <c r="SB51" s="1" t="s">
        <v>67</v>
      </c>
      <c r="SC51" s="1">
        <v>59428.397650531253</v>
      </c>
      <c r="SD51" s="1">
        <v>6876787.7563667288</v>
      </c>
      <c r="SE51" s="1">
        <v>8.6418833554243006E-3</v>
      </c>
      <c r="SF51" s="1"/>
      <c r="SG51" s="22">
        <v>11220</v>
      </c>
      <c r="SH51" s="1" t="s">
        <v>38</v>
      </c>
      <c r="SI51" s="1">
        <v>2022</v>
      </c>
      <c r="SJ51" s="1" t="s">
        <v>67</v>
      </c>
      <c r="SK51" s="1">
        <v>58719.311428172157</v>
      </c>
      <c r="SL51" s="1">
        <v>6325875.5612572851</v>
      </c>
      <c r="SM51" s="1">
        <v>9.2824006510336E-3</v>
      </c>
      <c r="SN51" s="1"/>
      <c r="SO51" s="22">
        <v>12140</v>
      </c>
      <c r="SP51" s="1" t="s">
        <v>31</v>
      </c>
      <c r="SQ51" s="1">
        <v>2022</v>
      </c>
      <c r="SR51" s="1" t="s">
        <v>67</v>
      </c>
      <c r="SS51" s="1">
        <v>68610.519808940313</v>
      </c>
      <c r="ST51" s="1">
        <v>9782189.227885304</v>
      </c>
      <c r="SU51" s="1">
        <v>7.0138205477929001E-3</v>
      </c>
      <c r="SV51" s="1"/>
      <c r="SW51" s="22">
        <v>13060</v>
      </c>
      <c r="SX51" s="1" t="s">
        <v>51</v>
      </c>
      <c r="SY51" s="1">
        <v>2022</v>
      </c>
      <c r="SZ51" s="1" t="s">
        <v>67</v>
      </c>
      <c r="TA51" s="1">
        <v>43815.193919726451</v>
      </c>
      <c r="TB51" s="1">
        <v>4800579.963537232</v>
      </c>
      <c r="TC51" s="1">
        <v>9.1270626158765009E-3</v>
      </c>
      <c r="TD51" s="1"/>
      <c r="TE51" s="22">
        <v>13980</v>
      </c>
      <c r="TF51" s="1" t="s">
        <v>57</v>
      </c>
      <c r="TG51" s="1">
        <v>2022</v>
      </c>
      <c r="TH51" s="1" t="s">
        <v>67</v>
      </c>
      <c r="TI51" s="1">
        <v>56540.065655995852</v>
      </c>
      <c r="TJ51" s="1">
        <v>9346455.8140041605</v>
      </c>
      <c r="TK51" s="1">
        <v>6.0493588993679997E-3</v>
      </c>
      <c r="TL51" s="1"/>
      <c r="TM51" s="22">
        <v>8506</v>
      </c>
      <c r="TN51" s="1" t="s">
        <v>17</v>
      </c>
      <c r="TO51" s="1">
        <v>2023</v>
      </c>
      <c r="TP51" s="1" t="s">
        <v>67</v>
      </c>
      <c r="TQ51" s="1">
        <v>24624.13332286424</v>
      </c>
      <c r="TR51" s="1">
        <v>4968081.7329930915</v>
      </c>
      <c r="TS51" s="1">
        <v>4.9564670322018002E-3</v>
      </c>
      <c r="TT51" s="1"/>
      <c r="TU51" s="22">
        <v>9426</v>
      </c>
      <c r="TV51" s="1" t="s">
        <v>61</v>
      </c>
      <c r="TW51" s="1">
        <v>2023</v>
      </c>
      <c r="TX51" s="1" t="s">
        <v>67</v>
      </c>
      <c r="TY51" s="1">
        <v>295312.21646428481</v>
      </c>
      <c r="TZ51" s="1">
        <v>61560292.543660469</v>
      </c>
      <c r="UA51" s="1">
        <v>4.7971217202198999E-3</v>
      </c>
      <c r="UB51" s="1"/>
      <c r="UC51" s="22">
        <v>10346</v>
      </c>
      <c r="UD51" s="1" t="s">
        <v>44</v>
      </c>
      <c r="UE51" s="1">
        <v>2023</v>
      </c>
      <c r="UF51" s="1" t="s">
        <v>67</v>
      </c>
      <c r="UG51" s="1">
        <v>64310.471319128606</v>
      </c>
      <c r="UH51" s="1">
        <v>7441719.4347760417</v>
      </c>
      <c r="UI51" s="1">
        <v>8.6418833554243006E-3</v>
      </c>
      <c r="UJ51" s="1"/>
      <c r="UK51" s="22">
        <v>11266</v>
      </c>
      <c r="UL51" s="1" t="s">
        <v>38</v>
      </c>
      <c r="UM51" s="1">
        <v>2023</v>
      </c>
      <c r="UN51" s="1" t="s">
        <v>67</v>
      </c>
      <c r="UO51" s="1">
        <v>64085.1683280902</v>
      </c>
      <c r="UP51" s="1">
        <v>6903943.3587640161</v>
      </c>
      <c r="UQ51" s="1">
        <v>9.2824006510336E-3</v>
      </c>
      <c r="UR51" s="1"/>
      <c r="US51" s="22">
        <v>12186</v>
      </c>
      <c r="UT51" s="1" t="s">
        <v>31</v>
      </c>
      <c r="UU51" s="1">
        <v>2023</v>
      </c>
      <c r="UV51" s="1" t="s">
        <v>67</v>
      </c>
      <c r="UW51" s="1">
        <v>74577.440075732811</v>
      </c>
      <c r="UX51" s="1">
        <v>10632926.743356841</v>
      </c>
      <c r="UY51" s="1">
        <v>7.0138205477929001E-3</v>
      </c>
      <c r="UZ51" s="1"/>
      <c r="VA51" s="22">
        <v>13106</v>
      </c>
      <c r="VB51" s="1" t="s">
        <v>51</v>
      </c>
      <c r="VC51" s="1">
        <v>2023</v>
      </c>
      <c r="VD51" s="1" t="s">
        <v>67</v>
      </c>
      <c r="VE51" s="1">
        <v>47991.242714995591</v>
      </c>
      <c r="VF51" s="1">
        <v>5258125.7228930313</v>
      </c>
      <c r="VG51" s="1">
        <v>9.1270626158765009E-3</v>
      </c>
      <c r="VH51" s="1"/>
      <c r="VI51" s="22">
        <v>14026</v>
      </c>
      <c r="VJ51" s="1" t="s">
        <v>57</v>
      </c>
      <c r="VK51" s="1">
        <v>2023</v>
      </c>
      <c r="VL51" s="1" t="s">
        <v>67</v>
      </c>
      <c r="VM51" s="1">
        <v>55886.250761267431</v>
      </c>
      <c r="VN51" s="1">
        <v>9238375.7834414635</v>
      </c>
      <c r="VO51" s="1">
        <v>6.0493588993679997E-3</v>
      </c>
      <c r="VP51" s="1"/>
      <c r="VQ51" s="22">
        <v>8552</v>
      </c>
      <c r="VR51" s="1" t="s">
        <v>17</v>
      </c>
      <c r="VS51" s="1">
        <v>2024</v>
      </c>
      <c r="VT51" s="1" t="s">
        <v>67</v>
      </c>
      <c r="VU51" s="1">
        <v>25393.559594849161</v>
      </c>
      <c r="VV51" s="1">
        <v>5123318.5714479852</v>
      </c>
      <c r="VW51" s="1">
        <v>4.9564670322018002E-3</v>
      </c>
      <c r="VX51" s="1"/>
      <c r="VY51" s="22">
        <v>9472</v>
      </c>
      <c r="VZ51" s="1" t="s">
        <v>61</v>
      </c>
      <c r="WA51" s="1">
        <v>2024</v>
      </c>
      <c r="WB51" s="1" t="s">
        <v>67</v>
      </c>
      <c r="WC51" s="1">
        <v>310910.52918174892</v>
      </c>
      <c r="WD51" s="1">
        <v>64811890.820126347</v>
      </c>
      <c r="WE51" s="1">
        <v>4.7971217202198999E-3</v>
      </c>
      <c r="WF51" s="1"/>
      <c r="WG51" s="22">
        <v>10392</v>
      </c>
      <c r="WH51" s="1" t="s">
        <v>44</v>
      </c>
      <c r="WI51" s="1">
        <v>2024</v>
      </c>
      <c r="WJ51" s="1" t="s">
        <v>67</v>
      </c>
      <c r="WK51" s="1">
        <v>69538.919927468916</v>
      </c>
      <c r="WL51" s="1">
        <v>8046732.0684004631</v>
      </c>
      <c r="WM51" s="1">
        <v>8.6418833554243006E-3</v>
      </c>
      <c r="WN51" s="1"/>
      <c r="WO51" s="22">
        <v>11312</v>
      </c>
      <c r="WP51" s="1" t="s">
        <v>38</v>
      </c>
      <c r="WQ51" s="1">
        <v>2024</v>
      </c>
      <c r="WR51" s="1" t="s">
        <v>67</v>
      </c>
      <c r="WS51" s="1">
        <v>66400.300497369593</v>
      </c>
      <c r="WT51" s="1">
        <v>7153354.2877160665</v>
      </c>
      <c r="WU51" s="1">
        <v>9.2824006510336E-3</v>
      </c>
      <c r="WV51" s="1"/>
      <c r="WW51" s="22">
        <v>12232</v>
      </c>
      <c r="WX51" s="1" t="s">
        <v>31</v>
      </c>
      <c r="WY51" s="1">
        <v>2024</v>
      </c>
      <c r="WZ51" s="1" t="s">
        <v>67</v>
      </c>
      <c r="XA51" s="1">
        <v>76789.36967366586</v>
      </c>
      <c r="XB51" s="1">
        <v>10948294.03609846</v>
      </c>
      <c r="XC51" s="1">
        <v>7.0138205477929001E-3</v>
      </c>
      <c r="XD51" s="1"/>
      <c r="XE51" s="22">
        <v>13152</v>
      </c>
      <c r="XF51" s="1" t="s">
        <v>51</v>
      </c>
      <c r="XG51" s="1">
        <v>2024</v>
      </c>
      <c r="XH51" s="1" t="s">
        <v>67</v>
      </c>
      <c r="XI51" s="1">
        <v>49410.607858535754</v>
      </c>
      <c r="XJ51" s="1">
        <v>5413637.436055948</v>
      </c>
      <c r="XK51" s="1">
        <v>9.1270626158765009E-3</v>
      </c>
      <c r="XL51" s="1"/>
      <c r="XM51" s="22">
        <v>14072</v>
      </c>
      <c r="XN51" s="1" t="s">
        <v>57</v>
      </c>
      <c r="XO51" s="1">
        <v>2024</v>
      </c>
      <c r="XP51" s="1" t="s">
        <v>67</v>
      </c>
      <c r="XQ51" s="1">
        <v>53406.290673654898</v>
      </c>
      <c r="XR51" s="1">
        <v>8828421.583522588</v>
      </c>
      <c r="XS51" s="1">
        <v>6.0493588993679997E-3</v>
      </c>
      <c r="XT51" s="1"/>
    </row>
    <row r="52" spans="1:644" x14ac:dyDescent="0.25">
      <c r="A52" s="2">
        <v>43</v>
      </c>
      <c r="B52" s="1" t="s">
        <v>17</v>
      </c>
      <c r="C52" s="1" t="s">
        <v>67</v>
      </c>
      <c r="D52" s="1">
        <v>5.9593970533256607E-3</v>
      </c>
      <c r="E52" s="1">
        <v>6.312617544802392E-3</v>
      </c>
      <c r="F52" s="1">
        <v>6.526723541299074E-3</v>
      </c>
      <c r="G52" s="1">
        <v>6.6564947964714164E-3</v>
      </c>
      <c r="H52" s="1">
        <v>6.5673703270870626E-3</v>
      </c>
      <c r="I52" s="1">
        <v>6.6670829827513677E-3</v>
      </c>
      <c r="J52" s="1">
        <v>4.9564670322018167E-3</v>
      </c>
      <c r="K52" s="1">
        <v>4.9564670322018098E-3</v>
      </c>
      <c r="L52" s="1">
        <v>4.9564670322018098E-3</v>
      </c>
      <c r="M52" s="1">
        <v>4.9564670322018107E-3</v>
      </c>
      <c r="N52" s="1">
        <v>4.9564670322018107E-3</v>
      </c>
      <c r="O52" s="1">
        <v>5.7701837642496392E-3</v>
      </c>
      <c r="P52" s="1"/>
      <c r="AC52" s="22">
        <v>917</v>
      </c>
      <c r="AD52" s="1" t="s">
        <v>17</v>
      </c>
      <c r="AE52" s="1">
        <v>2014</v>
      </c>
      <c r="AF52" s="1" t="s">
        <v>68</v>
      </c>
      <c r="AG52" s="1">
        <v>35404.199999999997</v>
      </c>
      <c r="AH52" s="1">
        <v>4088215.6</v>
      </c>
      <c r="AI52" s="1">
        <v>8.6600618617080002E-3</v>
      </c>
      <c r="AJ52" s="1"/>
      <c r="AK52" s="22">
        <v>2113</v>
      </c>
      <c r="AL52" s="1" t="s">
        <v>61</v>
      </c>
      <c r="AM52" s="1">
        <v>2014</v>
      </c>
      <c r="AN52" s="1" t="s">
        <v>68</v>
      </c>
      <c r="AO52" s="1">
        <v>438316.3</v>
      </c>
      <c r="AP52" s="1">
        <v>40350049.200000003</v>
      </c>
      <c r="AQ52" s="1">
        <v>1.08628442515009E-2</v>
      </c>
      <c r="AR52" s="1"/>
      <c r="AS52" s="22">
        <v>3309</v>
      </c>
      <c r="AT52" s="1" t="s">
        <v>44</v>
      </c>
      <c r="AU52" s="1">
        <v>2014</v>
      </c>
      <c r="AV52" s="1" t="s">
        <v>68</v>
      </c>
      <c r="AW52" s="1">
        <v>66539.3</v>
      </c>
      <c r="AX52" s="1">
        <v>6735816.8000000007</v>
      </c>
      <c r="AY52" s="1">
        <v>9.8784307791743003E-3</v>
      </c>
      <c r="AZ52" s="1"/>
      <c r="BA52" s="22">
        <v>4505</v>
      </c>
      <c r="BB52" s="1" t="s">
        <v>38</v>
      </c>
      <c r="BC52" s="1">
        <v>2014</v>
      </c>
      <c r="BD52" s="1" t="s">
        <v>68</v>
      </c>
      <c r="BE52" s="1">
        <v>57500.9</v>
      </c>
      <c r="BF52" s="1">
        <v>6538596.7000000002</v>
      </c>
      <c r="BG52" s="1">
        <v>8.7940735050993004E-3</v>
      </c>
      <c r="BH52" s="1"/>
      <c r="BI52" s="22">
        <v>5701</v>
      </c>
      <c r="BJ52" s="1" t="s">
        <v>31</v>
      </c>
      <c r="BK52" s="1">
        <v>2014</v>
      </c>
      <c r="BL52" s="1" t="s">
        <v>68</v>
      </c>
      <c r="BM52" s="1">
        <v>119019.7</v>
      </c>
      <c r="BN52" s="1">
        <v>9155477.5</v>
      </c>
      <c r="BO52" s="1">
        <v>1.2999835344470001E-2</v>
      </c>
      <c r="BP52" s="1"/>
      <c r="BQ52" s="22">
        <v>6897</v>
      </c>
      <c r="BR52" s="1" t="s">
        <v>51</v>
      </c>
      <c r="BS52" s="1">
        <v>2014</v>
      </c>
      <c r="BT52" s="1" t="s">
        <v>68</v>
      </c>
      <c r="BU52" s="1">
        <v>56521.5</v>
      </c>
      <c r="BV52" s="1">
        <v>4981875.5</v>
      </c>
      <c r="BW52" s="1">
        <v>1.13454260348336E-2</v>
      </c>
      <c r="BX52" s="1"/>
      <c r="BY52" s="22">
        <v>8093</v>
      </c>
      <c r="BZ52" s="1" t="s">
        <v>57</v>
      </c>
      <c r="CA52" s="1">
        <v>2014</v>
      </c>
      <c r="CB52" s="1" t="s">
        <v>68</v>
      </c>
      <c r="CC52" s="1">
        <v>112537.9</v>
      </c>
      <c r="CD52" s="1">
        <v>11026913.800000001</v>
      </c>
      <c r="CE52" s="1">
        <v>1.02057476861748E-2</v>
      </c>
      <c r="CF52" s="1"/>
      <c r="CG52" s="22">
        <v>963</v>
      </c>
      <c r="CH52" s="1" t="s">
        <v>17</v>
      </c>
      <c r="CI52" s="1">
        <v>2015</v>
      </c>
      <c r="CJ52" s="1" t="s">
        <v>68</v>
      </c>
      <c r="CK52" s="1">
        <v>31438.799999999999</v>
      </c>
      <c r="CL52" s="1">
        <v>3555133.8</v>
      </c>
      <c r="CM52" s="1">
        <v>8.8432114706905995E-3</v>
      </c>
      <c r="CN52" s="1"/>
      <c r="CO52" s="22">
        <v>2159</v>
      </c>
      <c r="CP52" s="1" t="s">
        <v>61</v>
      </c>
      <c r="CQ52" s="1">
        <v>2015</v>
      </c>
      <c r="CR52" s="1" t="s">
        <v>68</v>
      </c>
      <c r="CS52" s="1">
        <v>453283.2</v>
      </c>
      <c r="CT52" s="1">
        <v>41208556.399999999</v>
      </c>
      <c r="CU52" s="1">
        <v>1.0999734996783301E-2</v>
      </c>
      <c r="CV52" s="1"/>
      <c r="CW52" s="22">
        <v>3355</v>
      </c>
      <c r="CX52" s="1" t="s">
        <v>44</v>
      </c>
      <c r="CY52" s="1">
        <v>2015</v>
      </c>
      <c r="CZ52" s="1" t="s">
        <v>68</v>
      </c>
      <c r="DA52" s="1">
        <v>64477.7</v>
      </c>
      <c r="DB52" s="1">
        <v>6404349.4000000004</v>
      </c>
      <c r="DC52" s="1">
        <v>1.0067798611987E-2</v>
      </c>
      <c r="DD52" s="1"/>
      <c r="DE52" s="22">
        <v>4551</v>
      </c>
      <c r="DF52" s="1" t="s">
        <v>38</v>
      </c>
      <c r="DG52" s="1">
        <v>2015</v>
      </c>
      <c r="DH52" s="1" t="s">
        <v>68</v>
      </c>
      <c r="DI52" s="1">
        <v>48145.5</v>
      </c>
      <c r="DJ52" s="1">
        <v>5531517.5999999996</v>
      </c>
      <c r="DK52" s="1">
        <v>8.7038500971234004E-3</v>
      </c>
      <c r="DL52" s="1"/>
      <c r="DM52" s="22">
        <v>5747</v>
      </c>
      <c r="DN52" s="1" t="s">
        <v>31</v>
      </c>
      <c r="DO52" s="1">
        <v>2015</v>
      </c>
      <c r="DP52" s="1" t="s">
        <v>68</v>
      </c>
      <c r="DQ52" s="1">
        <v>102096.1</v>
      </c>
      <c r="DR52" s="1">
        <v>7894528</v>
      </c>
      <c r="DS52" s="1">
        <v>1.29325147747908E-2</v>
      </c>
      <c r="DT52" s="1"/>
      <c r="DU52" s="22">
        <v>6943</v>
      </c>
      <c r="DV52" s="1" t="s">
        <v>51</v>
      </c>
      <c r="DW52" s="1">
        <v>2015</v>
      </c>
      <c r="DX52" s="1" t="s">
        <v>68</v>
      </c>
      <c r="DY52" s="1">
        <v>47681.2</v>
      </c>
      <c r="DZ52" s="1">
        <v>4209274.5999999996</v>
      </c>
      <c r="EA52" s="1">
        <v>1.13276525128581E-2</v>
      </c>
      <c r="EB52" s="1"/>
      <c r="EC52" s="22">
        <v>8139</v>
      </c>
      <c r="ED52" s="1" t="s">
        <v>57</v>
      </c>
      <c r="EE52" s="1">
        <v>2015</v>
      </c>
      <c r="EF52" s="1" t="s">
        <v>68</v>
      </c>
      <c r="EG52" s="1">
        <v>96292.7</v>
      </c>
      <c r="EH52" s="1">
        <v>9729477.0999999996</v>
      </c>
      <c r="EI52" s="1">
        <v>9.8970066952518004E-3</v>
      </c>
      <c r="EJ52" s="1"/>
      <c r="EK52" s="22">
        <v>1009</v>
      </c>
      <c r="EL52" s="1" t="s">
        <v>17</v>
      </c>
      <c r="EM52" s="1">
        <v>2016</v>
      </c>
      <c r="EN52" s="1" t="s">
        <v>68</v>
      </c>
      <c r="EO52" s="1">
        <v>31025.7</v>
      </c>
      <c r="EP52" s="1">
        <v>3463407</v>
      </c>
      <c r="EQ52" s="1">
        <v>8.9581443936562997E-3</v>
      </c>
      <c r="ER52" s="1"/>
      <c r="ES52" s="22">
        <v>2205</v>
      </c>
      <c r="ET52" s="1" t="s">
        <v>61</v>
      </c>
      <c r="EU52" s="1">
        <v>2016</v>
      </c>
      <c r="EV52" s="1" t="s">
        <v>68</v>
      </c>
      <c r="EW52" s="1">
        <v>477109.1</v>
      </c>
      <c r="EX52" s="1">
        <v>42141395.200000003</v>
      </c>
      <c r="EY52" s="1">
        <v>1.13216256304679E-2</v>
      </c>
      <c r="EZ52" s="1"/>
      <c r="FA52" s="22">
        <v>3401</v>
      </c>
      <c r="FB52" s="1" t="s">
        <v>44</v>
      </c>
      <c r="FC52" s="1">
        <v>2016</v>
      </c>
      <c r="FD52" s="1" t="s">
        <v>68</v>
      </c>
      <c r="FE52" s="1">
        <v>60413.8</v>
      </c>
      <c r="FF52" s="1">
        <v>5868597.7999999998</v>
      </c>
      <c r="FG52" s="1">
        <v>1.0294418199863599E-2</v>
      </c>
      <c r="FH52" s="1"/>
      <c r="FI52" s="22">
        <v>4597</v>
      </c>
      <c r="FJ52" s="1" t="s">
        <v>38</v>
      </c>
      <c r="FK52" s="1">
        <v>2016</v>
      </c>
      <c r="FL52" s="1" t="s">
        <v>68</v>
      </c>
      <c r="FM52" s="1">
        <v>48738.3</v>
      </c>
      <c r="FN52" s="1">
        <v>5582986.5</v>
      </c>
      <c r="FO52" s="1">
        <v>8.7297900505400993E-3</v>
      </c>
      <c r="FP52" s="1"/>
      <c r="FQ52" s="22">
        <v>5793</v>
      </c>
      <c r="FR52" s="1" t="s">
        <v>31</v>
      </c>
      <c r="FS52" s="1">
        <v>2016</v>
      </c>
      <c r="FT52" s="1" t="s">
        <v>68</v>
      </c>
      <c r="FU52" s="1">
        <v>101421.6</v>
      </c>
      <c r="FV52" s="1">
        <v>8130820.9000000004</v>
      </c>
      <c r="FW52" s="1">
        <v>1.24737220567728E-2</v>
      </c>
      <c r="FX52" s="1"/>
      <c r="FY52" s="22">
        <v>6989</v>
      </c>
      <c r="FZ52" s="1" t="s">
        <v>51</v>
      </c>
      <c r="GA52" s="1">
        <v>2016</v>
      </c>
      <c r="GB52" s="1" t="s">
        <v>68</v>
      </c>
      <c r="GC52" s="1">
        <v>47430.1</v>
      </c>
      <c r="GD52" s="1">
        <v>4230502.5999999996</v>
      </c>
      <c r="GE52" s="1">
        <v>1.12114574755254E-2</v>
      </c>
      <c r="GF52" s="1"/>
      <c r="GG52" s="22">
        <v>8185</v>
      </c>
      <c r="GH52" s="1" t="s">
        <v>57</v>
      </c>
      <c r="GI52" s="1">
        <v>2016</v>
      </c>
      <c r="GJ52" s="1" t="s">
        <v>68</v>
      </c>
      <c r="GK52" s="1">
        <v>106323.6</v>
      </c>
      <c r="GL52" s="1">
        <v>10773649.5</v>
      </c>
      <c r="GM52" s="1">
        <v>9.8688564167600992E-3</v>
      </c>
      <c r="GN52" s="1"/>
      <c r="GO52" s="22">
        <v>1055</v>
      </c>
      <c r="GP52" s="1" t="s">
        <v>17</v>
      </c>
      <c r="GQ52" s="1">
        <v>2017</v>
      </c>
      <c r="GR52" s="1" t="s">
        <v>68</v>
      </c>
      <c r="GS52" s="1">
        <v>31734.1</v>
      </c>
      <c r="GT52" s="1">
        <v>3719735.5</v>
      </c>
      <c r="GU52" s="1">
        <v>8.5312786352685008E-3</v>
      </c>
      <c r="GV52" s="1"/>
      <c r="GW52" s="22">
        <v>2251</v>
      </c>
      <c r="GX52" s="1" t="s">
        <v>61</v>
      </c>
      <c r="GY52" s="1">
        <v>2017</v>
      </c>
      <c r="GZ52" s="1" t="s">
        <v>68</v>
      </c>
      <c r="HA52" s="1">
        <v>487560.6</v>
      </c>
      <c r="HB52" s="1">
        <v>44107004.100000001</v>
      </c>
      <c r="HC52" s="1">
        <v>1.1054040281098999E-2</v>
      </c>
      <c r="HD52" s="1"/>
      <c r="HE52" s="22">
        <v>3447</v>
      </c>
      <c r="HF52" s="1" t="s">
        <v>44</v>
      </c>
      <c r="HG52" s="1">
        <v>2017</v>
      </c>
      <c r="HH52" s="1" t="s">
        <v>68</v>
      </c>
      <c r="HI52" s="1">
        <v>60561.599999999999</v>
      </c>
      <c r="HJ52" s="1">
        <v>5855367.5</v>
      </c>
      <c r="HK52" s="1">
        <v>1.0342920405935201E-2</v>
      </c>
      <c r="HL52" s="1"/>
      <c r="HM52" s="22">
        <v>4643</v>
      </c>
      <c r="HN52" s="1" t="s">
        <v>38</v>
      </c>
      <c r="HO52" s="1">
        <v>2017</v>
      </c>
      <c r="HP52" s="1" t="s">
        <v>68</v>
      </c>
      <c r="HQ52" s="1">
        <v>50511.6</v>
      </c>
      <c r="HR52" s="1">
        <v>5923445.7000000002</v>
      </c>
      <c r="HS52" s="1">
        <v>8.5274015426526992E-3</v>
      </c>
      <c r="HT52" s="1"/>
      <c r="HU52" s="22">
        <v>5839</v>
      </c>
      <c r="HV52" s="1" t="s">
        <v>31</v>
      </c>
      <c r="HW52" s="1">
        <v>2017</v>
      </c>
      <c r="HX52" s="1" t="s">
        <v>68</v>
      </c>
      <c r="HY52" s="1">
        <v>106440.5</v>
      </c>
      <c r="HZ52" s="1">
        <v>8686095.3000000007</v>
      </c>
      <c r="IA52" s="1">
        <v>1.2254125279974701E-2</v>
      </c>
      <c r="IB52" s="1"/>
      <c r="IC52" s="22">
        <v>7035</v>
      </c>
      <c r="ID52" s="1" t="s">
        <v>51</v>
      </c>
      <c r="IE52" s="1">
        <v>2017</v>
      </c>
      <c r="IF52" s="1" t="s">
        <v>68</v>
      </c>
      <c r="IG52" s="1">
        <v>49536.7</v>
      </c>
      <c r="IH52" s="1">
        <v>4472691.8</v>
      </c>
      <c r="II52" s="1">
        <v>1.1075366292844E-2</v>
      </c>
      <c r="IJ52" s="1"/>
      <c r="IK52" s="22">
        <v>8231</v>
      </c>
      <c r="IL52" s="1" t="s">
        <v>57</v>
      </c>
      <c r="IM52" s="1">
        <v>2017</v>
      </c>
      <c r="IN52" s="1" t="s">
        <v>68</v>
      </c>
      <c r="IO52" s="1">
        <v>105391.4</v>
      </c>
      <c r="IP52" s="1">
        <v>10750260.5</v>
      </c>
      <c r="IQ52" s="1">
        <v>9.8036135961541999E-3</v>
      </c>
      <c r="IR52" s="1"/>
      <c r="IS52" s="22">
        <v>1101</v>
      </c>
      <c r="IT52" s="1" t="s">
        <v>17</v>
      </c>
      <c r="IU52" s="1">
        <v>2018</v>
      </c>
      <c r="IV52" s="1" t="s">
        <v>68</v>
      </c>
      <c r="IW52" s="1">
        <v>34078.300000000003</v>
      </c>
      <c r="IX52" s="1">
        <v>3904165.4</v>
      </c>
      <c r="IY52" s="1">
        <v>8.7287029386612994E-3</v>
      </c>
      <c r="IZ52" s="1"/>
      <c r="JA52" s="22">
        <v>2297</v>
      </c>
      <c r="JB52" s="1" t="s">
        <v>61</v>
      </c>
      <c r="JC52" s="1">
        <v>2018</v>
      </c>
      <c r="JD52" s="1" t="s">
        <v>68</v>
      </c>
      <c r="JE52" s="1">
        <v>505590.1</v>
      </c>
      <c r="JF52" s="1">
        <v>46669099.200000003</v>
      </c>
      <c r="JG52" s="1">
        <v>1.0833508867040599E-2</v>
      </c>
      <c r="JH52" s="1"/>
      <c r="JI52" s="22">
        <v>3493</v>
      </c>
      <c r="JJ52" s="1" t="s">
        <v>44</v>
      </c>
      <c r="JK52" s="1">
        <v>2018</v>
      </c>
      <c r="JL52" s="1" t="s">
        <v>68</v>
      </c>
      <c r="JM52" s="1">
        <v>66025.100000000006</v>
      </c>
      <c r="JN52" s="1">
        <v>6336724.7000000002</v>
      </c>
      <c r="JO52" s="1">
        <v>1.04194364006376E-2</v>
      </c>
      <c r="JP52" s="1"/>
      <c r="JQ52" s="22">
        <v>4689</v>
      </c>
      <c r="JR52" s="1" t="s">
        <v>38</v>
      </c>
      <c r="JS52" s="1">
        <v>2018</v>
      </c>
      <c r="JT52" s="1" t="s">
        <v>68</v>
      </c>
      <c r="JU52" s="1">
        <v>54177.9</v>
      </c>
      <c r="JV52" s="1">
        <v>6390706</v>
      </c>
      <c r="JW52" s="1">
        <v>8.4776079512966993E-3</v>
      </c>
      <c r="JX52" s="1"/>
      <c r="JY52" s="22">
        <v>5885</v>
      </c>
      <c r="JZ52" s="1" t="s">
        <v>31</v>
      </c>
      <c r="KA52" s="1">
        <v>2018</v>
      </c>
      <c r="KB52" s="1" t="s">
        <v>68</v>
      </c>
      <c r="KC52" s="1">
        <v>114382.9</v>
      </c>
      <c r="KD52" s="1">
        <v>9443218.3000000007</v>
      </c>
      <c r="KE52" s="1">
        <v>1.21127031448589E-2</v>
      </c>
      <c r="KF52" s="1"/>
      <c r="KG52" s="22">
        <v>7081</v>
      </c>
      <c r="KH52" s="1" t="s">
        <v>51</v>
      </c>
      <c r="KI52" s="1">
        <v>2018</v>
      </c>
      <c r="KJ52" s="1" t="s">
        <v>68</v>
      </c>
      <c r="KK52" s="1">
        <v>51853.8</v>
      </c>
      <c r="KL52" s="1">
        <v>4803387.8</v>
      </c>
      <c r="KM52" s="1">
        <v>1.07952557984179E-2</v>
      </c>
      <c r="KN52" s="1"/>
      <c r="KO52" s="22">
        <v>8277</v>
      </c>
      <c r="KP52" s="1" t="s">
        <v>57</v>
      </c>
      <c r="KQ52" s="1">
        <v>2018</v>
      </c>
      <c r="KR52" s="1" t="s">
        <v>68</v>
      </c>
      <c r="KS52" s="1">
        <v>106650.4</v>
      </c>
      <c r="KT52" s="1">
        <v>11172914.4</v>
      </c>
      <c r="KU52" s="1">
        <v>9.5454414293193995E-3</v>
      </c>
      <c r="KV52" s="1"/>
      <c r="KW52" s="22">
        <v>1147</v>
      </c>
      <c r="KX52" s="1" t="s">
        <v>17</v>
      </c>
      <c r="KY52" s="1">
        <v>2019</v>
      </c>
      <c r="KZ52" s="1" t="s">
        <v>68</v>
      </c>
      <c r="LA52" s="1">
        <v>35338.800000000003</v>
      </c>
      <c r="LB52" s="1">
        <v>3955328</v>
      </c>
      <c r="LC52" s="1">
        <v>8.9344802757192008E-3</v>
      </c>
      <c r="LD52" s="1"/>
      <c r="LE52" s="22">
        <v>2343</v>
      </c>
      <c r="LF52" s="1" t="s">
        <v>61</v>
      </c>
      <c r="LG52" s="1">
        <v>2019</v>
      </c>
      <c r="LH52" s="1" t="s">
        <v>68</v>
      </c>
      <c r="LI52" s="1">
        <v>516681.8</v>
      </c>
      <c r="LJ52" s="1">
        <v>48356774.5</v>
      </c>
      <c r="LK52" s="1">
        <v>1.06847862650557E-2</v>
      </c>
      <c r="LL52" s="1"/>
      <c r="LM52" s="22">
        <v>3539</v>
      </c>
      <c r="LN52" s="1" t="s">
        <v>44</v>
      </c>
      <c r="LO52" s="1">
        <v>2019</v>
      </c>
      <c r="LP52" s="1" t="s">
        <v>68</v>
      </c>
      <c r="LQ52" s="1">
        <v>64320.9</v>
      </c>
      <c r="LR52" s="1">
        <v>6269787.0999999996</v>
      </c>
      <c r="LS52" s="1">
        <v>1.02588650896933E-2</v>
      </c>
      <c r="LT52" s="1"/>
      <c r="LU52" s="22">
        <v>4735</v>
      </c>
      <c r="LV52" s="1" t="s">
        <v>38</v>
      </c>
      <c r="LW52" s="1">
        <v>2019</v>
      </c>
      <c r="LX52" s="1" t="s">
        <v>68</v>
      </c>
      <c r="LY52" s="1">
        <v>52303.5</v>
      </c>
      <c r="LZ52" s="1">
        <v>6182094.5</v>
      </c>
      <c r="MA52" s="1">
        <v>8.4604821230085999E-3</v>
      </c>
      <c r="MB52" s="1"/>
      <c r="MC52" s="22">
        <v>5931</v>
      </c>
      <c r="MD52" s="1" t="s">
        <v>31</v>
      </c>
      <c r="ME52" s="1">
        <v>2019</v>
      </c>
      <c r="MF52" s="1" t="s">
        <v>68</v>
      </c>
      <c r="MG52" s="1">
        <v>112420.9</v>
      </c>
      <c r="MH52" s="1">
        <v>9237079</v>
      </c>
      <c r="MI52" s="1">
        <v>1.21706115104136E-2</v>
      </c>
      <c r="MJ52" s="1"/>
      <c r="MK52" s="22">
        <v>7127</v>
      </c>
      <c r="ML52" s="1" t="s">
        <v>51</v>
      </c>
      <c r="MM52" s="1">
        <v>2019</v>
      </c>
      <c r="MN52" s="1" t="s">
        <v>68</v>
      </c>
      <c r="MO52" s="1">
        <v>48166.7</v>
      </c>
      <c r="MP52" s="1">
        <v>4608662</v>
      </c>
      <c r="MQ52" s="1">
        <v>1.04513414088514E-2</v>
      </c>
      <c r="MR52" s="1"/>
      <c r="MS52" s="22">
        <v>8323</v>
      </c>
      <c r="MT52" s="1" t="s">
        <v>57</v>
      </c>
      <c r="MU52" s="1">
        <v>2019</v>
      </c>
      <c r="MV52" s="1" t="s">
        <v>68</v>
      </c>
      <c r="MW52" s="1">
        <v>110117.1</v>
      </c>
      <c r="MX52" s="1">
        <v>11338077</v>
      </c>
      <c r="MY52" s="1">
        <v>9.7121495999717995E-3</v>
      </c>
      <c r="MZ52" s="1"/>
      <c r="NA52" s="22">
        <v>1193</v>
      </c>
      <c r="NB52" s="1" t="s">
        <v>17</v>
      </c>
      <c r="NC52" s="1">
        <v>2020</v>
      </c>
      <c r="ND52" s="1" t="s">
        <v>68</v>
      </c>
      <c r="NE52" s="1">
        <v>34722.6</v>
      </c>
      <c r="NF52" s="1">
        <v>3784752.3</v>
      </c>
      <c r="NG52" s="1">
        <v>9.1743388332175997E-3</v>
      </c>
      <c r="NH52" s="1"/>
      <c r="NI52" s="22">
        <v>2389</v>
      </c>
      <c r="NJ52" s="1" t="s">
        <v>61</v>
      </c>
      <c r="NK52" s="1">
        <v>2020</v>
      </c>
      <c r="NL52" s="1" t="s">
        <v>68</v>
      </c>
      <c r="NM52" s="1">
        <v>482248.4</v>
      </c>
      <c r="NN52" s="1">
        <v>47421769.399999999</v>
      </c>
      <c r="NO52" s="1">
        <v>1.0169346401486199E-2</v>
      </c>
      <c r="NP52" s="1"/>
      <c r="NQ52" s="22">
        <v>3585</v>
      </c>
      <c r="NR52" s="1" t="s">
        <v>44</v>
      </c>
      <c r="NS52" s="1">
        <v>2020</v>
      </c>
      <c r="NT52" s="1" t="s">
        <v>68</v>
      </c>
      <c r="NU52" s="1">
        <v>54628.2</v>
      </c>
      <c r="NV52" s="1">
        <v>5955345.3666666672</v>
      </c>
      <c r="NW52" s="1">
        <v>9.1729692631708007E-3</v>
      </c>
      <c r="NX52" s="1"/>
      <c r="NY52" s="22">
        <v>4781</v>
      </c>
      <c r="NZ52" s="1" t="s">
        <v>38</v>
      </c>
      <c r="OA52" s="1">
        <v>2020</v>
      </c>
      <c r="OB52" s="1" t="s">
        <v>68</v>
      </c>
      <c r="OC52" s="1">
        <v>48935.8</v>
      </c>
      <c r="OD52" s="1">
        <v>5990228.4000000004</v>
      </c>
      <c r="OE52" s="1">
        <v>8.1692711416479005E-3</v>
      </c>
      <c r="OF52" s="1"/>
      <c r="OG52" s="22">
        <v>5977</v>
      </c>
      <c r="OH52" s="1" t="s">
        <v>31</v>
      </c>
      <c r="OI52" s="1">
        <v>2020</v>
      </c>
      <c r="OJ52" s="1" t="s">
        <v>68</v>
      </c>
      <c r="OK52" s="1">
        <v>113727.7</v>
      </c>
      <c r="OL52" s="1">
        <v>9257180.0999999996</v>
      </c>
      <c r="OM52" s="1">
        <v>1.2285350265573799E-2</v>
      </c>
      <c r="ON52" s="1"/>
      <c r="OO52" s="22">
        <v>7173</v>
      </c>
      <c r="OP52" s="1" t="s">
        <v>51</v>
      </c>
      <c r="OQ52" s="1">
        <v>2020</v>
      </c>
      <c r="OR52" s="1" t="s">
        <v>68</v>
      </c>
      <c r="OS52" s="1">
        <v>42354.5</v>
      </c>
      <c r="OT52" s="1">
        <v>4352046.4000000004</v>
      </c>
      <c r="OU52" s="1">
        <v>9.7320883343522992E-3</v>
      </c>
      <c r="OV52" s="1"/>
      <c r="OW52" s="22">
        <v>8369</v>
      </c>
      <c r="OX52" s="1" t="s">
        <v>57</v>
      </c>
      <c r="OY52" s="1">
        <v>2020</v>
      </c>
      <c r="OZ52" s="1" t="s">
        <v>68</v>
      </c>
      <c r="PA52" s="1">
        <v>97908.7</v>
      </c>
      <c r="PB52" s="1">
        <v>11082248.733333331</v>
      </c>
      <c r="PC52" s="1">
        <v>8.8347322241116005E-3</v>
      </c>
      <c r="PD52" s="1"/>
      <c r="PE52" s="22">
        <v>8415</v>
      </c>
      <c r="PF52" s="1" t="s">
        <v>17</v>
      </c>
      <c r="PG52" s="1">
        <v>2021</v>
      </c>
      <c r="PH52" s="1" t="s">
        <v>68</v>
      </c>
      <c r="PI52" s="1">
        <v>42412.961313779982</v>
      </c>
      <c r="PJ52" s="1">
        <v>4622999.2247741111</v>
      </c>
      <c r="PK52" s="1">
        <v>9.1743388332175997E-3</v>
      </c>
      <c r="PL52" s="1"/>
      <c r="PM52" s="22">
        <v>9335</v>
      </c>
      <c r="PN52" s="1" t="s">
        <v>61</v>
      </c>
      <c r="PO52" s="1">
        <v>2021</v>
      </c>
      <c r="PP52" s="1" t="s">
        <v>68</v>
      </c>
      <c r="PQ52" s="1">
        <v>534802.25390346406</v>
      </c>
      <c r="PR52" s="1">
        <v>52589638.782026872</v>
      </c>
      <c r="PS52" s="1">
        <v>1.0169346401486199E-2</v>
      </c>
      <c r="PT52" s="1"/>
      <c r="PU52" s="22">
        <v>10255</v>
      </c>
      <c r="PV52" s="1" t="s">
        <v>44</v>
      </c>
      <c r="PW52" s="1">
        <v>2021</v>
      </c>
      <c r="PX52" s="1" t="s">
        <v>68</v>
      </c>
      <c r="PY52" s="1">
        <v>63673.682548817451</v>
      </c>
      <c r="PZ52" s="1">
        <v>6941447.2808129201</v>
      </c>
      <c r="QA52" s="1">
        <v>9.1729692631708007E-3</v>
      </c>
      <c r="QB52" s="1"/>
      <c r="QC52" s="22">
        <v>11175</v>
      </c>
      <c r="QD52" s="1" t="s">
        <v>38</v>
      </c>
      <c r="QE52" s="1">
        <v>2021</v>
      </c>
      <c r="QF52" s="1" t="s">
        <v>68</v>
      </c>
      <c r="QG52" s="1">
        <v>54821.927012420667</v>
      </c>
      <c r="QH52" s="1">
        <v>6710748.8614170318</v>
      </c>
      <c r="QI52" s="1">
        <v>8.1692711416479005E-3</v>
      </c>
      <c r="QJ52" s="1"/>
      <c r="QK52" s="22">
        <v>12095</v>
      </c>
      <c r="QL52" s="1" t="s">
        <v>31</v>
      </c>
      <c r="QM52" s="1">
        <v>2021</v>
      </c>
      <c r="QN52" s="1" t="s">
        <v>68</v>
      </c>
      <c r="QO52" s="1">
        <v>125508.7783454389</v>
      </c>
      <c r="QP52" s="1">
        <v>10216133.49495957</v>
      </c>
      <c r="QQ52" s="1">
        <v>1.2285350265573799E-2</v>
      </c>
      <c r="QR52" s="1"/>
      <c r="QS52" s="22">
        <v>13015</v>
      </c>
      <c r="QT52" s="1" t="s">
        <v>51</v>
      </c>
      <c r="QU52" s="1">
        <v>2021</v>
      </c>
      <c r="QV52" s="1" t="s">
        <v>68</v>
      </c>
      <c r="QW52" s="1">
        <v>48388.108889739247</v>
      </c>
      <c r="QX52" s="1">
        <v>4972017.0252605537</v>
      </c>
      <c r="QY52" s="1">
        <v>9.7320883343522992E-3</v>
      </c>
      <c r="QZ52" s="1"/>
      <c r="RA52" s="22">
        <v>13935</v>
      </c>
      <c r="RB52" s="1" t="s">
        <v>57</v>
      </c>
      <c r="RC52" s="1">
        <v>2021</v>
      </c>
      <c r="RD52" s="1" t="s">
        <v>68</v>
      </c>
      <c r="RE52" s="1">
        <v>97619.666052310276</v>
      </c>
      <c r="RF52" s="1">
        <v>11049533.09007922</v>
      </c>
      <c r="RG52" s="1">
        <v>8.8347322241116005E-3</v>
      </c>
      <c r="RH52" s="1"/>
      <c r="RI52" s="22">
        <v>8461</v>
      </c>
      <c r="RJ52" s="1" t="s">
        <v>17</v>
      </c>
      <c r="RK52" s="1">
        <v>2022</v>
      </c>
      <c r="RL52" s="1" t="s">
        <v>68</v>
      </c>
      <c r="RM52" s="1">
        <v>45936.853900511684</v>
      </c>
      <c r="RN52" s="1">
        <v>5007102.3902221443</v>
      </c>
      <c r="RO52" s="1">
        <v>9.1743388332175997E-3</v>
      </c>
      <c r="RP52" s="1"/>
      <c r="RQ52" s="22">
        <v>9381</v>
      </c>
      <c r="RR52" s="1" t="s">
        <v>61</v>
      </c>
      <c r="RS52" s="1">
        <v>2022</v>
      </c>
      <c r="RT52" s="1" t="s">
        <v>68</v>
      </c>
      <c r="RU52" s="1">
        <v>587324.49103263346</v>
      </c>
      <c r="RV52" s="1">
        <v>57754399.13688051</v>
      </c>
      <c r="RW52" s="1">
        <v>1.0169346401486199E-2</v>
      </c>
      <c r="RX52" s="1"/>
      <c r="RY52" s="22">
        <v>10301</v>
      </c>
      <c r="RZ52" s="1" t="s">
        <v>44</v>
      </c>
      <c r="SA52" s="1">
        <v>2022</v>
      </c>
      <c r="SB52" s="1" t="s">
        <v>68</v>
      </c>
      <c r="SC52" s="1">
        <v>63080.562718501293</v>
      </c>
      <c r="SD52" s="1">
        <v>6876787.7563667288</v>
      </c>
      <c r="SE52" s="1">
        <v>9.1729692631708007E-3</v>
      </c>
      <c r="SF52" s="1"/>
      <c r="SG52" s="22">
        <v>11221</v>
      </c>
      <c r="SH52" s="1" t="s">
        <v>38</v>
      </c>
      <c r="SI52" s="1">
        <v>2022</v>
      </c>
      <c r="SJ52" s="1" t="s">
        <v>68</v>
      </c>
      <c r="SK52" s="1">
        <v>51677.792668234863</v>
      </c>
      <c r="SL52" s="1">
        <v>6325875.5612572851</v>
      </c>
      <c r="SM52" s="1">
        <v>8.1692711416479005E-3</v>
      </c>
      <c r="SN52" s="1"/>
      <c r="SO52" s="22">
        <v>12141</v>
      </c>
      <c r="SP52" s="1" t="s">
        <v>31</v>
      </c>
      <c r="SQ52" s="1">
        <v>2022</v>
      </c>
      <c r="SR52" s="1" t="s">
        <v>68</v>
      </c>
      <c r="SS52" s="1">
        <v>120177.6210286939</v>
      </c>
      <c r="ST52" s="1">
        <v>9782189.227885304</v>
      </c>
      <c r="SU52" s="1">
        <v>1.2285350265573799E-2</v>
      </c>
      <c r="SV52" s="1"/>
      <c r="SW52" s="22">
        <v>13061</v>
      </c>
      <c r="SX52" s="1" t="s">
        <v>51</v>
      </c>
      <c r="SY52" s="1">
        <v>2022</v>
      </c>
      <c r="SZ52" s="1" t="s">
        <v>68</v>
      </c>
      <c r="TA52" s="1">
        <v>46719.668261266081</v>
      </c>
      <c r="TB52" s="1">
        <v>4800579.963537232</v>
      </c>
      <c r="TC52" s="1">
        <v>9.7320883343522992E-3</v>
      </c>
      <c r="TD52" s="1"/>
      <c r="TE52" s="22">
        <v>13981</v>
      </c>
      <c r="TF52" s="1" t="s">
        <v>57</v>
      </c>
      <c r="TG52" s="1">
        <v>2022</v>
      </c>
      <c r="TH52" s="1" t="s">
        <v>68</v>
      </c>
      <c r="TI52" s="1">
        <v>82573.434361217776</v>
      </c>
      <c r="TJ52" s="1">
        <v>9346455.8140041605</v>
      </c>
      <c r="TK52" s="1">
        <v>8.8347322241116005E-3</v>
      </c>
      <c r="TL52" s="1"/>
      <c r="TM52" s="22">
        <v>8507</v>
      </c>
      <c r="TN52" s="1" t="s">
        <v>17</v>
      </c>
      <c r="TO52" s="1">
        <v>2023</v>
      </c>
      <c r="TP52" s="1" t="s">
        <v>68</v>
      </c>
      <c r="TQ52" s="1">
        <v>45578.865169597499</v>
      </c>
      <c r="TR52" s="1">
        <v>4968081.7329930915</v>
      </c>
      <c r="TS52" s="1">
        <v>9.1743388332175997E-3</v>
      </c>
      <c r="TT52" s="1"/>
      <c r="TU52" s="22">
        <v>9427</v>
      </c>
      <c r="TV52" s="1" t="s">
        <v>61</v>
      </c>
      <c r="TW52" s="1">
        <v>2023</v>
      </c>
      <c r="TX52" s="1" t="s">
        <v>68</v>
      </c>
      <c r="TY52" s="1">
        <v>626027.93945331126</v>
      </c>
      <c r="TZ52" s="1">
        <v>61560292.543660469</v>
      </c>
      <c r="UA52" s="1">
        <v>1.0169346401486199E-2</v>
      </c>
      <c r="UB52" s="1"/>
      <c r="UC52" s="22">
        <v>10347</v>
      </c>
      <c r="UD52" s="1" t="s">
        <v>44</v>
      </c>
      <c r="UE52" s="1">
        <v>2023</v>
      </c>
      <c r="UF52" s="1" t="s">
        <v>68</v>
      </c>
      <c r="UG52" s="1">
        <v>68262.663640341416</v>
      </c>
      <c r="UH52" s="1">
        <v>7441719.4347760417</v>
      </c>
      <c r="UI52" s="1">
        <v>9.1729692631708007E-3</v>
      </c>
      <c r="UJ52" s="1"/>
      <c r="UK52" s="22">
        <v>11267</v>
      </c>
      <c r="UL52" s="1" t="s">
        <v>38</v>
      </c>
      <c r="UM52" s="1">
        <v>2023</v>
      </c>
      <c r="UN52" s="1" t="s">
        <v>68</v>
      </c>
      <c r="UO52" s="1">
        <v>56400.185244322558</v>
      </c>
      <c r="UP52" s="1">
        <v>6903943.3587640161</v>
      </c>
      <c r="UQ52" s="1">
        <v>8.1692711416479005E-3</v>
      </c>
      <c r="UR52" s="1"/>
      <c r="US52" s="22">
        <v>12187</v>
      </c>
      <c r="UT52" s="1" t="s">
        <v>31</v>
      </c>
      <c r="UU52" s="1">
        <v>2023</v>
      </c>
      <c r="UV52" s="1" t="s">
        <v>68</v>
      </c>
      <c r="UW52" s="1">
        <v>130629.22939032561</v>
      </c>
      <c r="UX52" s="1">
        <v>10632926.743356841</v>
      </c>
      <c r="UY52" s="1">
        <v>1.2285350265573799E-2</v>
      </c>
      <c r="UZ52" s="1"/>
      <c r="VA52" s="22">
        <v>13107</v>
      </c>
      <c r="VB52" s="1" t="s">
        <v>51</v>
      </c>
      <c r="VC52" s="1">
        <v>2023</v>
      </c>
      <c r="VD52" s="1" t="s">
        <v>68</v>
      </c>
      <c r="VE52" s="1">
        <v>51172.544008325021</v>
      </c>
      <c r="VF52" s="1">
        <v>5258125.7228930313</v>
      </c>
      <c r="VG52" s="1">
        <v>9.7320883343522992E-3</v>
      </c>
      <c r="VH52" s="1"/>
      <c r="VI52" s="22">
        <v>14027</v>
      </c>
      <c r="VJ52" s="1" t="s">
        <v>57</v>
      </c>
      <c r="VK52" s="1">
        <v>2023</v>
      </c>
      <c r="VL52" s="1" t="s">
        <v>68</v>
      </c>
      <c r="VM52" s="1">
        <v>81618.576232422551</v>
      </c>
      <c r="VN52" s="1">
        <v>9238375.7834414635</v>
      </c>
      <c r="VO52" s="1">
        <v>8.8347322241116005E-3</v>
      </c>
      <c r="VP52" s="1"/>
      <c r="VQ52" s="22">
        <v>8553</v>
      </c>
      <c r="VR52" s="1" t="s">
        <v>17</v>
      </c>
      <c r="VS52" s="1">
        <v>2024</v>
      </c>
      <c r="VT52" s="1" t="s">
        <v>68</v>
      </c>
      <c r="VU52" s="1">
        <v>47003.060524980167</v>
      </c>
      <c r="VV52" s="1">
        <v>5123318.5714479852</v>
      </c>
      <c r="VW52" s="1">
        <v>9.1743388332175997E-3</v>
      </c>
      <c r="VX52" s="1"/>
      <c r="VY52" s="22">
        <v>9473</v>
      </c>
      <c r="VZ52" s="1" t="s">
        <v>61</v>
      </c>
      <c r="WA52" s="1">
        <v>2024</v>
      </c>
      <c r="WB52" s="1" t="s">
        <v>68</v>
      </c>
      <c r="WC52" s="1">
        <v>659094.56868516828</v>
      </c>
      <c r="WD52" s="1">
        <v>64811890.820126347</v>
      </c>
      <c r="WE52" s="1">
        <v>1.0169346401486199E-2</v>
      </c>
      <c r="WF52" s="1"/>
      <c r="WG52" s="22">
        <v>10393</v>
      </c>
      <c r="WH52" s="1" t="s">
        <v>44</v>
      </c>
      <c r="WI52" s="1">
        <v>2024</v>
      </c>
      <c r="WJ52" s="1" t="s">
        <v>68</v>
      </c>
      <c r="WK52" s="1">
        <v>73812.425932408252</v>
      </c>
      <c r="WL52" s="1">
        <v>8046732.0684004631</v>
      </c>
      <c r="WM52" s="1">
        <v>9.1729692631708007E-3</v>
      </c>
      <c r="WN52" s="1"/>
      <c r="WO52" s="22">
        <v>11313</v>
      </c>
      <c r="WP52" s="1" t="s">
        <v>38</v>
      </c>
      <c r="WQ52" s="1">
        <v>2024</v>
      </c>
      <c r="WR52" s="1" t="s">
        <v>68</v>
      </c>
      <c r="WS52" s="1">
        <v>58437.690748622117</v>
      </c>
      <c r="WT52" s="1">
        <v>7153354.2877160665</v>
      </c>
      <c r="WU52" s="1">
        <v>8.1692711416479005E-3</v>
      </c>
      <c r="WV52" s="1"/>
      <c r="WW52" s="22">
        <v>12233</v>
      </c>
      <c r="WX52" s="1" t="s">
        <v>31</v>
      </c>
      <c r="WY52" s="1">
        <v>2024</v>
      </c>
      <c r="WZ52" s="1" t="s">
        <v>68</v>
      </c>
      <c r="XA52" s="1">
        <v>134503.6270439623</v>
      </c>
      <c r="XB52" s="1">
        <v>10948294.03609846</v>
      </c>
      <c r="XC52" s="1">
        <v>1.2285350265573799E-2</v>
      </c>
      <c r="XD52" s="1"/>
      <c r="XE52" s="22">
        <v>13153</v>
      </c>
      <c r="XF52" s="1" t="s">
        <v>51</v>
      </c>
      <c r="XG52" s="1">
        <v>2024</v>
      </c>
      <c r="XH52" s="1" t="s">
        <v>68</v>
      </c>
      <c r="XI52" s="1">
        <v>52685.99773785298</v>
      </c>
      <c r="XJ52" s="1">
        <v>5413637.436055948</v>
      </c>
      <c r="XK52" s="1">
        <v>9.7320883343522992E-3</v>
      </c>
      <c r="XL52" s="1"/>
      <c r="XM52" s="22">
        <v>14073</v>
      </c>
      <c r="XN52" s="1" t="s">
        <v>57</v>
      </c>
      <c r="XO52" s="1">
        <v>2024</v>
      </c>
      <c r="XP52" s="1" t="s">
        <v>68</v>
      </c>
      <c r="XQ52" s="1">
        <v>77996.74065198937</v>
      </c>
      <c r="XR52" s="1">
        <v>8828421.583522588</v>
      </c>
      <c r="XS52" s="1">
        <v>8.8347322241116005E-3</v>
      </c>
      <c r="XT52" s="1"/>
    </row>
    <row r="53" spans="1:644" x14ac:dyDescent="0.25">
      <c r="A53" s="2">
        <v>44</v>
      </c>
      <c r="B53" s="1" t="s">
        <v>17</v>
      </c>
      <c r="C53" s="1" t="s">
        <v>68</v>
      </c>
      <c r="D53" s="1">
        <v>8.6600618617080748E-3</v>
      </c>
      <c r="E53" s="1">
        <v>8.8432114706906376E-3</v>
      </c>
      <c r="F53" s="1">
        <v>8.958144393656305E-3</v>
      </c>
      <c r="G53" s="1">
        <v>8.5312786352685563E-3</v>
      </c>
      <c r="H53" s="1">
        <v>8.7287029386613584E-3</v>
      </c>
      <c r="I53" s="1">
        <v>8.9344802757192338E-3</v>
      </c>
      <c r="J53" s="1">
        <v>9.1743388332176986E-3</v>
      </c>
      <c r="K53" s="1">
        <v>9.1743388332176171E-3</v>
      </c>
      <c r="L53" s="1">
        <v>9.1743388332176188E-3</v>
      </c>
      <c r="M53" s="1">
        <v>9.1743388332176188E-3</v>
      </c>
      <c r="N53" s="1">
        <v>9.1743388332176188E-3</v>
      </c>
      <c r="O53" s="1">
        <v>8.9570521583447592E-3</v>
      </c>
      <c r="P53" s="1"/>
      <c r="AC53" s="22">
        <v>918</v>
      </c>
      <c r="AD53" s="1" t="s">
        <v>17</v>
      </c>
      <c r="AE53" s="1">
        <v>2014</v>
      </c>
      <c r="AF53" s="1" t="s">
        <v>69</v>
      </c>
      <c r="AG53" s="1">
        <v>2900.2</v>
      </c>
      <c r="AH53" s="1">
        <v>4088215.6</v>
      </c>
      <c r="AI53" s="1">
        <v>7.0940485624089997E-4</v>
      </c>
      <c r="AJ53" s="1"/>
      <c r="AK53" s="22">
        <v>2114</v>
      </c>
      <c r="AL53" s="1" t="s">
        <v>61</v>
      </c>
      <c r="AM53" s="1">
        <v>2014</v>
      </c>
      <c r="AN53" s="1" t="s">
        <v>69</v>
      </c>
      <c r="AO53" s="1">
        <v>20844.900000000001</v>
      </c>
      <c r="AP53" s="1">
        <v>40350049.200000003</v>
      </c>
      <c r="AQ53" s="1">
        <v>5.1660160057499999E-4</v>
      </c>
      <c r="AR53" s="1"/>
      <c r="AS53" s="22">
        <v>3310</v>
      </c>
      <c r="AT53" s="1" t="s">
        <v>44</v>
      </c>
      <c r="AU53" s="1">
        <v>2014</v>
      </c>
      <c r="AV53" s="1" t="s">
        <v>69</v>
      </c>
      <c r="AW53" s="1">
        <v>4293</v>
      </c>
      <c r="AX53" s="1">
        <v>6735816.8000000007</v>
      </c>
      <c r="AY53" s="1">
        <v>6.3733918654079996E-4</v>
      </c>
      <c r="AZ53" s="1"/>
      <c r="BA53" s="22">
        <v>4506</v>
      </c>
      <c r="BB53" s="1" t="s">
        <v>38</v>
      </c>
      <c r="BC53" s="1">
        <v>2014</v>
      </c>
      <c r="BD53" s="1" t="s">
        <v>69</v>
      </c>
      <c r="BE53" s="1">
        <v>4786.6000000000004</v>
      </c>
      <c r="BF53" s="1">
        <v>6538596.7000000002</v>
      </c>
      <c r="BG53" s="1">
        <v>7.3205310246460004E-4</v>
      </c>
      <c r="BH53" s="1"/>
      <c r="BI53" s="22">
        <v>5702</v>
      </c>
      <c r="BJ53" s="1" t="s">
        <v>31</v>
      </c>
      <c r="BK53" s="1">
        <v>2014</v>
      </c>
      <c r="BL53" s="1" t="s">
        <v>69</v>
      </c>
      <c r="BM53" s="1">
        <v>8659.2000000000007</v>
      </c>
      <c r="BN53" s="1">
        <v>9155477.5</v>
      </c>
      <c r="BO53" s="1">
        <v>9.457944711239E-4</v>
      </c>
      <c r="BP53" s="1"/>
      <c r="BQ53" s="22">
        <v>6898</v>
      </c>
      <c r="BR53" s="1" t="s">
        <v>51</v>
      </c>
      <c r="BS53" s="1">
        <v>2014</v>
      </c>
      <c r="BT53" s="1" t="s">
        <v>69</v>
      </c>
      <c r="BU53" s="1">
        <v>25183.9</v>
      </c>
      <c r="BV53" s="1">
        <v>4981875.5</v>
      </c>
      <c r="BW53" s="1">
        <v>5.0551042473863002E-3</v>
      </c>
      <c r="BX53" s="1"/>
      <c r="BY53" s="22">
        <v>8094</v>
      </c>
      <c r="BZ53" s="1" t="s">
        <v>57</v>
      </c>
      <c r="CA53" s="1">
        <v>2014</v>
      </c>
      <c r="CB53" s="1" t="s">
        <v>69</v>
      </c>
      <c r="CC53" s="1">
        <v>0</v>
      </c>
      <c r="CD53" s="1">
        <v>11026913.800000001</v>
      </c>
      <c r="CE53" s="1">
        <v>0</v>
      </c>
      <c r="CF53" s="1"/>
      <c r="CG53" s="22">
        <v>964</v>
      </c>
      <c r="CH53" s="1" t="s">
        <v>17</v>
      </c>
      <c r="CI53" s="1">
        <v>2015</v>
      </c>
      <c r="CJ53" s="1" t="s">
        <v>69</v>
      </c>
      <c r="CK53" s="1">
        <v>2563.4</v>
      </c>
      <c r="CL53" s="1">
        <v>3555133.8</v>
      </c>
      <c r="CM53" s="1">
        <v>7.2104177907449996E-4</v>
      </c>
      <c r="CN53" s="1"/>
      <c r="CO53" s="22">
        <v>2160</v>
      </c>
      <c r="CP53" s="1" t="s">
        <v>61</v>
      </c>
      <c r="CQ53" s="1">
        <v>2015</v>
      </c>
      <c r="CR53" s="1" t="s">
        <v>69</v>
      </c>
      <c r="CS53" s="1">
        <v>21313.7</v>
      </c>
      <c r="CT53" s="1">
        <v>41208556.399999999</v>
      </c>
      <c r="CU53" s="1">
        <v>5.1721540044040004E-4</v>
      </c>
      <c r="CV53" s="1"/>
      <c r="CW53" s="22">
        <v>3356</v>
      </c>
      <c r="CX53" s="1" t="s">
        <v>44</v>
      </c>
      <c r="CY53" s="1">
        <v>2015</v>
      </c>
      <c r="CZ53" s="1" t="s">
        <v>69</v>
      </c>
      <c r="DA53" s="1">
        <v>3897.4</v>
      </c>
      <c r="DB53" s="1">
        <v>6404349.4000000004</v>
      </c>
      <c r="DC53" s="1">
        <v>6.0855517970329997E-4</v>
      </c>
      <c r="DD53" s="1"/>
      <c r="DE53" s="22">
        <v>4552</v>
      </c>
      <c r="DF53" s="1" t="s">
        <v>38</v>
      </c>
      <c r="DG53" s="1">
        <v>2015</v>
      </c>
      <c r="DH53" s="1" t="s">
        <v>69</v>
      </c>
      <c r="DI53" s="1">
        <v>3850</v>
      </c>
      <c r="DJ53" s="1">
        <v>5531517.5999999996</v>
      </c>
      <c r="DK53" s="1">
        <v>6.960115249384E-4</v>
      </c>
      <c r="DL53" s="1"/>
      <c r="DM53" s="22">
        <v>5748</v>
      </c>
      <c r="DN53" s="1" t="s">
        <v>31</v>
      </c>
      <c r="DO53" s="1">
        <v>2015</v>
      </c>
      <c r="DP53" s="1" t="s">
        <v>69</v>
      </c>
      <c r="DQ53" s="1">
        <v>7574.6</v>
      </c>
      <c r="DR53" s="1">
        <v>7894528</v>
      </c>
      <c r="DS53" s="1">
        <v>9.5947471463770002E-4</v>
      </c>
      <c r="DT53" s="1"/>
      <c r="DU53" s="22">
        <v>6944</v>
      </c>
      <c r="DV53" s="1" t="s">
        <v>51</v>
      </c>
      <c r="DW53" s="1">
        <v>2015</v>
      </c>
      <c r="DX53" s="1" t="s">
        <v>69</v>
      </c>
      <c r="DY53" s="1">
        <v>20905.099999999999</v>
      </c>
      <c r="DZ53" s="1">
        <v>4209274.5999999996</v>
      </c>
      <c r="EA53" s="1">
        <v>4.9664376850109999E-3</v>
      </c>
      <c r="EB53" s="1"/>
      <c r="EC53" s="22">
        <v>8140</v>
      </c>
      <c r="ED53" s="1" t="s">
        <v>57</v>
      </c>
      <c r="EE53" s="1">
        <v>2015</v>
      </c>
      <c r="EF53" s="1" t="s">
        <v>69</v>
      </c>
      <c r="EG53" s="1">
        <v>0</v>
      </c>
      <c r="EH53" s="1">
        <v>9729477.0999999996</v>
      </c>
      <c r="EI53" s="1">
        <v>0</v>
      </c>
      <c r="EJ53" s="1"/>
      <c r="EK53" s="22">
        <v>1010</v>
      </c>
      <c r="EL53" s="1" t="s">
        <v>17</v>
      </c>
      <c r="EM53" s="1">
        <v>2016</v>
      </c>
      <c r="EN53" s="1" t="s">
        <v>69</v>
      </c>
      <c r="EO53" s="1">
        <v>2506</v>
      </c>
      <c r="EP53" s="1">
        <v>3463407</v>
      </c>
      <c r="EQ53" s="1">
        <v>7.2356497518189997E-4</v>
      </c>
      <c r="ER53" s="1"/>
      <c r="ES53" s="22">
        <v>2206</v>
      </c>
      <c r="ET53" s="1" t="s">
        <v>61</v>
      </c>
      <c r="EU53" s="1">
        <v>2016</v>
      </c>
      <c r="EV53" s="1" t="s">
        <v>69</v>
      </c>
      <c r="EW53" s="1">
        <v>20047.2</v>
      </c>
      <c r="EX53" s="1">
        <v>42141395.200000003</v>
      </c>
      <c r="EY53" s="1">
        <v>4.7571277374310002E-4</v>
      </c>
      <c r="EZ53" s="1"/>
      <c r="FA53" s="22">
        <v>3402</v>
      </c>
      <c r="FB53" s="1" t="s">
        <v>44</v>
      </c>
      <c r="FC53" s="1">
        <v>2016</v>
      </c>
      <c r="FD53" s="1" t="s">
        <v>69</v>
      </c>
      <c r="FE53" s="1">
        <v>4308.5</v>
      </c>
      <c r="FF53" s="1">
        <v>5868597.7999999998</v>
      </c>
      <c r="FG53" s="1">
        <v>7.3416174473560001E-4</v>
      </c>
      <c r="FH53" s="1"/>
      <c r="FI53" s="22">
        <v>4598</v>
      </c>
      <c r="FJ53" s="1" t="s">
        <v>38</v>
      </c>
      <c r="FK53" s="1">
        <v>2016</v>
      </c>
      <c r="FL53" s="1" t="s">
        <v>69</v>
      </c>
      <c r="FM53" s="1">
        <v>3736.9</v>
      </c>
      <c r="FN53" s="1">
        <v>5582986.5</v>
      </c>
      <c r="FO53" s="1">
        <v>6.6933710120910001E-4</v>
      </c>
      <c r="FP53" s="1"/>
      <c r="FQ53" s="22">
        <v>5794</v>
      </c>
      <c r="FR53" s="1" t="s">
        <v>31</v>
      </c>
      <c r="FS53" s="1">
        <v>2016</v>
      </c>
      <c r="FT53" s="1" t="s">
        <v>69</v>
      </c>
      <c r="FU53" s="1">
        <v>7758.3</v>
      </c>
      <c r="FV53" s="1">
        <v>8130820.9000000004</v>
      </c>
      <c r="FW53" s="1">
        <v>9.5418409720469998E-4</v>
      </c>
      <c r="FX53" s="1"/>
      <c r="FY53" s="22">
        <v>6990</v>
      </c>
      <c r="FZ53" s="1" t="s">
        <v>51</v>
      </c>
      <c r="GA53" s="1">
        <v>2016</v>
      </c>
      <c r="GB53" s="1" t="s">
        <v>69</v>
      </c>
      <c r="GC53" s="1">
        <v>20411.400000000001</v>
      </c>
      <c r="GD53" s="1">
        <v>4230502.5999999996</v>
      </c>
      <c r="GE53" s="1">
        <v>4.8248167959995996E-3</v>
      </c>
      <c r="GF53" s="1"/>
      <c r="GG53" s="22">
        <v>8186</v>
      </c>
      <c r="GH53" s="1" t="s">
        <v>57</v>
      </c>
      <c r="GI53" s="1">
        <v>2016</v>
      </c>
      <c r="GJ53" s="1" t="s">
        <v>69</v>
      </c>
      <c r="GK53" s="1">
        <v>0</v>
      </c>
      <c r="GL53" s="1">
        <v>10773649.5</v>
      </c>
      <c r="GM53" s="1">
        <v>0</v>
      </c>
      <c r="GN53" s="1"/>
      <c r="GO53" s="22">
        <v>1056</v>
      </c>
      <c r="GP53" s="1" t="s">
        <v>17</v>
      </c>
      <c r="GQ53" s="1">
        <v>2017</v>
      </c>
      <c r="GR53" s="1" t="s">
        <v>69</v>
      </c>
      <c r="GS53" s="1">
        <v>2595.6999999999998</v>
      </c>
      <c r="GT53" s="1">
        <v>3719735.5</v>
      </c>
      <c r="GU53" s="1">
        <v>6.9781843359559997E-4</v>
      </c>
      <c r="GV53" s="1"/>
      <c r="GW53" s="22">
        <v>2252</v>
      </c>
      <c r="GX53" s="1" t="s">
        <v>61</v>
      </c>
      <c r="GY53" s="1">
        <v>2017</v>
      </c>
      <c r="GZ53" s="1" t="s">
        <v>69</v>
      </c>
      <c r="HA53" s="1">
        <v>18684.099999999999</v>
      </c>
      <c r="HB53" s="1">
        <v>44107004.100000001</v>
      </c>
      <c r="HC53" s="1">
        <v>4.236084581405E-4</v>
      </c>
      <c r="HD53" s="1"/>
      <c r="HE53" s="22">
        <v>3448</v>
      </c>
      <c r="HF53" s="1" t="s">
        <v>44</v>
      </c>
      <c r="HG53" s="1">
        <v>2017</v>
      </c>
      <c r="HH53" s="1" t="s">
        <v>69</v>
      </c>
      <c r="HI53" s="1">
        <v>4150.7</v>
      </c>
      <c r="HJ53" s="1">
        <v>5855367.5</v>
      </c>
      <c r="HK53" s="1">
        <v>7.0887096326569996E-4</v>
      </c>
      <c r="HL53" s="1"/>
      <c r="HM53" s="22">
        <v>4644</v>
      </c>
      <c r="HN53" s="1" t="s">
        <v>38</v>
      </c>
      <c r="HO53" s="1">
        <v>2017</v>
      </c>
      <c r="HP53" s="1" t="s">
        <v>69</v>
      </c>
      <c r="HQ53" s="1">
        <v>3819.4</v>
      </c>
      <c r="HR53" s="1">
        <v>5923445.7000000002</v>
      </c>
      <c r="HS53" s="1">
        <v>6.4479362071300005E-4</v>
      </c>
      <c r="HT53" s="1"/>
      <c r="HU53" s="22">
        <v>5840</v>
      </c>
      <c r="HV53" s="1" t="s">
        <v>31</v>
      </c>
      <c r="HW53" s="1">
        <v>2017</v>
      </c>
      <c r="HX53" s="1" t="s">
        <v>69</v>
      </c>
      <c r="HY53" s="1">
        <v>8072.7</v>
      </c>
      <c r="HZ53" s="1">
        <v>8686095.3000000007</v>
      </c>
      <c r="IA53" s="1">
        <v>9.2938192837919997E-4</v>
      </c>
      <c r="IB53" s="1"/>
      <c r="IC53" s="22">
        <v>7036</v>
      </c>
      <c r="ID53" s="1" t="s">
        <v>51</v>
      </c>
      <c r="IE53" s="1">
        <v>2017</v>
      </c>
      <c r="IF53" s="1" t="s">
        <v>69</v>
      </c>
      <c r="IG53" s="1">
        <v>20450.900000000001</v>
      </c>
      <c r="IH53" s="1">
        <v>4472691.8</v>
      </c>
      <c r="II53" s="1">
        <v>4.5723919542142001E-3</v>
      </c>
      <c r="IJ53" s="1"/>
      <c r="IK53" s="22">
        <v>8232</v>
      </c>
      <c r="IL53" s="1" t="s">
        <v>57</v>
      </c>
      <c r="IM53" s="1">
        <v>2017</v>
      </c>
      <c r="IN53" s="1" t="s">
        <v>69</v>
      </c>
      <c r="IO53" s="1">
        <v>0</v>
      </c>
      <c r="IP53" s="1">
        <v>10750260.5</v>
      </c>
      <c r="IQ53" s="1">
        <v>0</v>
      </c>
      <c r="IR53" s="1"/>
      <c r="IS53" s="22">
        <v>1102</v>
      </c>
      <c r="IT53" s="1" t="s">
        <v>17</v>
      </c>
      <c r="IU53" s="1">
        <v>2018</v>
      </c>
      <c r="IV53" s="1" t="s">
        <v>69</v>
      </c>
      <c r="IW53" s="1">
        <v>2675.5</v>
      </c>
      <c r="IX53" s="1">
        <v>3904165.4</v>
      </c>
      <c r="IY53" s="1">
        <v>6.8529371219770002E-4</v>
      </c>
      <c r="IZ53" s="1"/>
      <c r="JA53" s="22">
        <v>2298</v>
      </c>
      <c r="JB53" s="1" t="s">
        <v>61</v>
      </c>
      <c r="JC53" s="1">
        <v>2018</v>
      </c>
      <c r="JD53" s="1" t="s">
        <v>69</v>
      </c>
      <c r="JE53" s="1">
        <v>21956.5</v>
      </c>
      <c r="JF53" s="1">
        <v>46669099.200000003</v>
      </c>
      <c r="JG53" s="1">
        <v>4.7047190488729999E-4</v>
      </c>
      <c r="JH53" s="1"/>
      <c r="JI53" s="22">
        <v>3494</v>
      </c>
      <c r="JJ53" s="1" t="s">
        <v>44</v>
      </c>
      <c r="JK53" s="1">
        <v>2018</v>
      </c>
      <c r="JL53" s="1" t="s">
        <v>69</v>
      </c>
      <c r="JM53" s="1">
        <v>4796.3</v>
      </c>
      <c r="JN53" s="1">
        <v>6336724.7000000002</v>
      </c>
      <c r="JO53" s="1">
        <v>7.5690521950550003E-4</v>
      </c>
      <c r="JP53" s="1"/>
      <c r="JQ53" s="22">
        <v>4690</v>
      </c>
      <c r="JR53" s="1" t="s">
        <v>38</v>
      </c>
      <c r="JS53" s="1">
        <v>2018</v>
      </c>
      <c r="JT53" s="1" t="s">
        <v>69</v>
      </c>
      <c r="JU53" s="1">
        <v>1854.1</v>
      </c>
      <c r="JV53" s="1">
        <v>6390706</v>
      </c>
      <c r="JW53" s="1">
        <v>2.9012444008530002E-4</v>
      </c>
      <c r="JX53" s="1"/>
      <c r="JY53" s="22">
        <v>5886</v>
      </c>
      <c r="JZ53" s="1" t="s">
        <v>31</v>
      </c>
      <c r="KA53" s="1">
        <v>2018</v>
      </c>
      <c r="KB53" s="1" t="s">
        <v>69</v>
      </c>
      <c r="KC53" s="1">
        <v>8711.9</v>
      </c>
      <c r="KD53" s="1">
        <v>9443218.3000000007</v>
      </c>
      <c r="KE53" s="1">
        <v>9.2255624335189999E-4</v>
      </c>
      <c r="KF53" s="1"/>
      <c r="KG53" s="22">
        <v>7082</v>
      </c>
      <c r="KH53" s="1" t="s">
        <v>51</v>
      </c>
      <c r="KI53" s="1">
        <v>2018</v>
      </c>
      <c r="KJ53" s="1" t="s">
        <v>69</v>
      </c>
      <c r="KK53" s="1">
        <v>21326.3</v>
      </c>
      <c r="KL53" s="1">
        <v>4803387.8</v>
      </c>
      <c r="KM53" s="1">
        <v>4.4398455606685996E-3</v>
      </c>
      <c r="KN53" s="1"/>
      <c r="KO53" s="22">
        <v>8278</v>
      </c>
      <c r="KP53" s="1" t="s">
        <v>57</v>
      </c>
      <c r="KQ53" s="1">
        <v>2018</v>
      </c>
      <c r="KR53" s="1" t="s">
        <v>69</v>
      </c>
      <c r="KS53" s="1">
        <v>0</v>
      </c>
      <c r="KT53" s="1">
        <v>11172914.4</v>
      </c>
      <c r="KU53" s="1">
        <v>0</v>
      </c>
      <c r="KV53" s="1"/>
      <c r="KW53" s="22">
        <v>1148</v>
      </c>
      <c r="KX53" s="1" t="s">
        <v>17</v>
      </c>
      <c r="KY53" s="1">
        <v>2019</v>
      </c>
      <c r="KZ53" s="1" t="s">
        <v>69</v>
      </c>
      <c r="LA53" s="1">
        <v>2700.5</v>
      </c>
      <c r="LB53" s="1">
        <v>3955328</v>
      </c>
      <c r="LC53" s="1">
        <v>6.8274995145779999E-4</v>
      </c>
      <c r="LD53" s="1"/>
      <c r="LE53" s="22">
        <v>2344</v>
      </c>
      <c r="LF53" s="1" t="s">
        <v>61</v>
      </c>
      <c r="LG53" s="1">
        <v>2019</v>
      </c>
      <c r="LH53" s="1" t="s">
        <v>69</v>
      </c>
      <c r="LI53" s="1">
        <v>22972.9</v>
      </c>
      <c r="LJ53" s="1">
        <v>48356774.5</v>
      </c>
      <c r="LK53" s="1">
        <v>4.7507097480199999E-4</v>
      </c>
      <c r="LL53" s="1"/>
      <c r="LM53" s="22">
        <v>3540</v>
      </c>
      <c r="LN53" s="1" t="s">
        <v>44</v>
      </c>
      <c r="LO53" s="1">
        <v>2019</v>
      </c>
      <c r="LP53" s="1" t="s">
        <v>69</v>
      </c>
      <c r="LQ53" s="1">
        <v>4999.7</v>
      </c>
      <c r="LR53" s="1">
        <v>6269787.0999999996</v>
      </c>
      <c r="LS53" s="1">
        <v>7.9742739589989996E-4</v>
      </c>
      <c r="LT53" s="1"/>
      <c r="LU53" s="22">
        <v>4736</v>
      </c>
      <c r="LV53" s="1" t="s">
        <v>38</v>
      </c>
      <c r="LW53" s="1">
        <v>2019</v>
      </c>
      <c r="LX53" s="1" t="s">
        <v>69</v>
      </c>
      <c r="LY53" s="1">
        <v>1649</v>
      </c>
      <c r="LZ53" s="1">
        <v>6182094.5</v>
      </c>
      <c r="MA53" s="1">
        <v>2.6673807720019999E-4</v>
      </c>
      <c r="MB53" s="1"/>
      <c r="MC53" s="22">
        <v>5932</v>
      </c>
      <c r="MD53" s="1" t="s">
        <v>31</v>
      </c>
      <c r="ME53" s="1">
        <v>2019</v>
      </c>
      <c r="MF53" s="1" t="s">
        <v>69</v>
      </c>
      <c r="MG53" s="1">
        <v>8520.2999999999993</v>
      </c>
      <c r="MH53" s="1">
        <v>9237079</v>
      </c>
      <c r="MI53" s="1">
        <v>9.2240198443679997E-4</v>
      </c>
      <c r="MJ53" s="1"/>
      <c r="MK53" s="22">
        <v>7128</v>
      </c>
      <c r="ML53" s="1" t="s">
        <v>51</v>
      </c>
      <c r="MM53" s="1">
        <v>2019</v>
      </c>
      <c r="MN53" s="1" t="s">
        <v>69</v>
      </c>
      <c r="MO53" s="1">
        <v>20179.900000000001</v>
      </c>
      <c r="MP53" s="1">
        <v>4608662</v>
      </c>
      <c r="MQ53" s="1">
        <v>4.3786895198649001E-3</v>
      </c>
      <c r="MR53" s="1"/>
      <c r="MS53" s="22">
        <v>8324</v>
      </c>
      <c r="MT53" s="1" t="s">
        <v>57</v>
      </c>
      <c r="MU53" s="1">
        <v>2019</v>
      </c>
      <c r="MV53" s="1" t="s">
        <v>69</v>
      </c>
      <c r="MW53" s="1">
        <v>0</v>
      </c>
      <c r="MX53" s="1">
        <v>11338077</v>
      </c>
      <c r="MY53" s="1">
        <v>0</v>
      </c>
      <c r="MZ53" s="1"/>
      <c r="NA53" s="22">
        <v>1194</v>
      </c>
      <c r="NB53" s="1" t="s">
        <v>17</v>
      </c>
      <c r="NC53" s="1">
        <v>2020</v>
      </c>
      <c r="ND53" s="1" t="s">
        <v>69</v>
      </c>
      <c r="NE53" s="1">
        <v>2210.1</v>
      </c>
      <c r="NF53" s="1">
        <v>3784752.3</v>
      </c>
      <c r="NG53" s="1">
        <v>5.8394838679399997E-4</v>
      </c>
      <c r="NH53" s="1"/>
      <c r="NI53" s="22">
        <v>2390</v>
      </c>
      <c r="NJ53" s="1" t="s">
        <v>61</v>
      </c>
      <c r="NK53" s="1">
        <v>2020</v>
      </c>
      <c r="NL53" s="1" t="s">
        <v>69</v>
      </c>
      <c r="NM53" s="1">
        <v>22471.599999999999</v>
      </c>
      <c r="NN53" s="1">
        <v>47421769.399999999</v>
      </c>
      <c r="NO53" s="1">
        <v>4.7386675538090001E-4</v>
      </c>
      <c r="NP53" s="1"/>
      <c r="NQ53" s="22">
        <v>3586</v>
      </c>
      <c r="NR53" s="1" t="s">
        <v>44</v>
      </c>
      <c r="NS53" s="1">
        <v>2020</v>
      </c>
      <c r="NT53" s="1" t="s">
        <v>69</v>
      </c>
      <c r="NU53" s="1">
        <v>4003.9</v>
      </c>
      <c r="NV53" s="1">
        <v>5955345.3666666672</v>
      </c>
      <c r="NW53" s="1">
        <v>6.7232036993360004E-4</v>
      </c>
      <c r="NX53" s="1"/>
      <c r="NY53" s="22">
        <v>4782</v>
      </c>
      <c r="NZ53" s="1" t="s">
        <v>38</v>
      </c>
      <c r="OA53" s="1">
        <v>2020</v>
      </c>
      <c r="OB53" s="1" t="s">
        <v>69</v>
      </c>
      <c r="OC53" s="1">
        <v>1024.0999999999999</v>
      </c>
      <c r="OD53" s="1">
        <v>5990228.4000000004</v>
      </c>
      <c r="OE53" s="1">
        <v>1.7096176165830001E-4</v>
      </c>
      <c r="OF53" s="1"/>
      <c r="OG53" s="22">
        <v>5978</v>
      </c>
      <c r="OH53" s="1" t="s">
        <v>31</v>
      </c>
      <c r="OI53" s="1">
        <v>2020</v>
      </c>
      <c r="OJ53" s="1" t="s">
        <v>69</v>
      </c>
      <c r="OK53" s="1">
        <v>8566.5</v>
      </c>
      <c r="OL53" s="1">
        <v>9257180.0999999996</v>
      </c>
      <c r="OM53" s="1">
        <v>9.2538979553819997E-4</v>
      </c>
      <c r="ON53" s="1"/>
      <c r="OO53" s="22">
        <v>7174</v>
      </c>
      <c r="OP53" s="1" t="s">
        <v>51</v>
      </c>
      <c r="OQ53" s="1">
        <v>2020</v>
      </c>
      <c r="OR53" s="1" t="s">
        <v>69</v>
      </c>
      <c r="OS53" s="1">
        <v>20198.5</v>
      </c>
      <c r="OT53" s="1">
        <v>4352046.4000000004</v>
      </c>
      <c r="OU53" s="1">
        <v>4.6411499656804998E-3</v>
      </c>
      <c r="OV53" s="1"/>
      <c r="OW53" s="22">
        <v>8370</v>
      </c>
      <c r="OX53" s="1" t="s">
        <v>57</v>
      </c>
      <c r="OY53" s="1">
        <v>2020</v>
      </c>
      <c r="OZ53" s="1" t="s">
        <v>69</v>
      </c>
      <c r="PA53" s="1">
        <v>0</v>
      </c>
      <c r="PB53" s="1">
        <v>11082248.733333331</v>
      </c>
      <c r="PC53" s="1">
        <v>0</v>
      </c>
      <c r="PD53" s="1"/>
      <c r="PE53" s="22">
        <v>8416</v>
      </c>
      <c r="PF53" s="1" t="s">
        <v>17</v>
      </c>
      <c r="PG53" s="1">
        <v>2021</v>
      </c>
      <c r="PH53" s="1" t="s">
        <v>69</v>
      </c>
      <c r="PI53" s="1">
        <v>2699.5929394567552</v>
      </c>
      <c r="PJ53" s="1">
        <v>4622999.2247741111</v>
      </c>
      <c r="PK53" s="1">
        <v>5.8394838679399997E-4</v>
      </c>
      <c r="PL53" s="1"/>
      <c r="PM53" s="22">
        <v>9336</v>
      </c>
      <c r="PN53" s="1" t="s">
        <v>61</v>
      </c>
      <c r="PO53" s="1">
        <v>2021</v>
      </c>
      <c r="PP53" s="1" t="s">
        <v>69</v>
      </c>
      <c r="PQ53" s="1">
        <v>24920.481496292621</v>
      </c>
      <c r="PR53" s="1">
        <v>52589638.782026872</v>
      </c>
      <c r="PS53" s="1">
        <v>4.7386675538090001E-4</v>
      </c>
      <c r="PT53" s="1"/>
      <c r="PU53" s="22">
        <v>10256</v>
      </c>
      <c r="PV53" s="1" t="s">
        <v>44</v>
      </c>
      <c r="PW53" s="1">
        <v>2021</v>
      </c>
      <c r="PX53" s="1" t="s">
        <v>69</v>
      </c>
      <c r="PY53" s="1">
        <v>4666.8764037107248</v>
      </c>
      <c r="PZ53" s="1">
        <v>6941447.2808129201</v>
      </c>
      <c r="QA53" s="1">
        <v>6.7232036993360004E-4</v>
      </c>
      <c r="QB53" s="1"/>
      <c r="QC53" s="22">
        <v>11176</v>
      </c>
      <c r="QD53" s="1" t="s">
        <v>38</v>
      </c>
      <c r="QE53" s="1">
        <v>2021</v>
      </c>
      <c r="QF53" s="1" t="s">
        <v>69</v>
      </c>
      <c r="QG53" s="1">
        <v>1147.2814473942869</v>
      </c>
      <c r="QH53" s="1">
        <v>6710748.8614170318</v>
      </c>
      <c r="QI53" s="1">
        <v>1.7096176165830001E-4</v>
      </c>
      <c r="QJ53" s="1"/>
      <c r="QK53" s="22">
        <v>12096</v>
      </c>
      <c r="QL53" s="1" t="s">
        <v>31</v>
      </c>
      <c r="QM53" s="1">
        <v>2021</v>
      </c>
      <c r="QN53" s="1" t="s">
        <v>69</v>
      </c>
      <c r="QO53" s="1">
        <v>9453.9056860915916</v>
      </c>
      <c r="QP53" s="1">
        <v>10216133.49495957</v>
      </c>
      <c r="QQ53" s="1">
        <v>9.2538979553819997E-4</v>
      </c>
      <c r="QR53" s="1"/>
      <c r="QS53" s="22">
        <v>13016</v>
      </c>
      <c r="QT53" s="1" t="s">
        <v>51</v>
      </c>
      <c r="QU53" s="1">
        <v>2021</v>
      </c>
      <c r="QV53" s="1" t="s">
        <v>69</v>
      </c>
      <c r="QW53" s="1">
        <v>23075.876646150879</v>
      </c>
      <c r="QX53" s="1">
        <v>4972017.0252605537</v>
      </c>
      <c r="QY53" s="1">
        <v>4.6411499656804998E-3</v>
      </c>
      <c r="QZ53" s="1"/>
      <c r="RA53" s="22">
        <v>13936</v>
      </c>
      <c r="RB53" s="1" t="s">
        <v>57</v>
      </c>
      <c r="RC53" s="1">
        <v>2021</v>
      </c>
      <c r="RD53" s="1" t="s">
        <v>69</v>
      </c>
      <c r="RE53" s="1">
        <v>0</v>
      </c>
      <c r="RF53" s="1">
        <v>11049533.09007922</v>
      </c>
      <c r="RG53" s="1">
        <v>0</v>
      </c>
      <c r="RH53" s="1"/>
      <c r="RI53" s="22">
        <v>8462</v>
      </c>
      <c r="RJ53" s="1" t="s">
        <v>17</v>
      </c>
      <c r="RK53" s="1">
        <v>2022</v>
      </c>
      <c r="RL53" s="1" t="s">
        <v>69</v>
      </c>
      <c r="RM53" s="1">
        <v>2923.889363282603</v>
      </c>
      <c r="RN53" s="1">
        <v>5007102.3902221443</v>
      </c>
      <c r="RO53" s="1">
        <v>5.8394838679399997E-4</v>
      </c>
      <c r="RP53" s="1"/>
      <c r="RQ53" s="22">
        <v>9382</v>
      </c>
      <c r="RR53" s="1" t="s">
        <v>61</v>
      </c>
      <c r="RS53" s="1">
        <v>2022</v>
      </c>
      <c r="RT53" s="1" t="s">
        <v>69</v>
      </c>
      <c r="RU53" s="1">
        <v>27367.88972796702</v>
      </c>
      <c r="RV53" s="1">
        <v>57754399.13688051</v>
      </c>
      <c r="RW53" s="1">
        <v>4.7386675538090001E-4</v>
      </c>
      <c r="RX53" s="1"/>
      <c r="RY53" s="22">
        <v>10302</v>
      </c>
      <c r="RZ53" s="1" t="s">
        <v>44</v>
      </c>
      <c r="SA53" s="1">
        <v>2022</v>
      </c>
      <c r="SB53" s="1" t="s">
        <v>69</v>
      </c>
      <c r="SC53" s="1">
        <v>4623.4044883153301</v>
      </c>
      <c r="SD53" s="1">
        <v>6876787.7563667288</v>
      </c>
      <c r="SE53" s="1">
        <v>6.7232036993360004E-4</v>
      </c>
      <c r="SF53" s="1"/>
      <c r="SG53" s="22">
        <v>11222</v>
      </c>
      <c r="SH53" s="1" t="s">
        <v>38</v>
      </c>
      <c r="SI53" s="1">
        <v>2022</v>
      </c>
      <c r="SJ53" s="1" t="s">
        <v>69</v>
      </c>
      <c r="SK53" s="1">
        <v>1081.4828299837329</v>
      </c>
      <c r="SL53" s="1">
        <v>6325875.5612572851</v>
      </c>
      <c r="SM53" s="1">
        <v>1.7096176165830001E-4</v>
      </c>
      <c r="SN53" s="1"/>
      <c r="SO53" s="22">
        <v>12142</v>
      </c>
      <c r="SP53" s="1" t="s">
        <v>31</v>
      </c>
      <c r="SQ53" s="1">
        <v>2022</v>
      </c>
      <c r="SR53" s="1" t="s">
        <v>69</v>
      </c>
      <c r="SS53" s="1">
        <v>9052.3380895087648</v>
      </c>
      <c r="ST53" s="1">
        <v>9782189.227885304</v>
      </c>
      <c r="SU53" s="1">
        <v>9.2538979553819997E-4</v>
      </c>
      <c r="SV53" s="1"/>
      <c r="SW53" s="22">
        <v>13062</v>
      </c>
      <c r="SX53" s="1" t="s">
        <v>51</v>
      </c>
      <c r="SY53" s="1">
        <v>2022</v>
      </c>
      <c r="SZ53" s="1" t="s">
        <v>69</v>
      </c>
      <c r="TA53" s="1">
        <v>22280.211533017318</v>
      </c>
      <c r="TB53" s="1">
        <v>4800579.963537232</v>
      </c>
      <c r="TC53" s="1">
        <v>4.6411499656804998E-3</v>
      </c>
      <c r="TD53" s="1"/>
      <c r="TE53" s="22">
        <v>13982</v>
      </c>
      <c r="TF53" s="1" t="s">
        <v>57</v>
      </c>
      <c r="TG53" s="1">
        <v>2022</v>
      </c>
      <c r="TH53" s="1" t="s">
        <v>69</v>
      </c>
      <c r="TI53" s="1">
        <v>0</v>
      </c>
      <c r="TJ53" s="1">
        <v>9346455.8140041605</v>
      </c>
      <c r="TK53" s="1">
        <v>0</v>
      </c>
      <c r="TL53" s="1"/>
      <c r="TM53" s="22">
        <v>8508</v>
      </c>
      <c r="TN53" s="1" t="s">
        <v>17</v>
      </c>
      <c r="TO53" s="1">
        <v>2023</v>
      </c>
      <c r="TP53" s="1" t="s">
        <v>69</v>
      </c>
      <c r="TQ53" s="1">
        <v>2901.103313442055</v>
      </c>
      <c r="TR53" s="1">
        <v>4968081.7329930915</v>
      </c>
      <c r="TS53" s="1">
        <v>5.8394838679399997E-4</v>
      </c>
      <c r="TT53" s="1"/>
      <c r="TU53" s="22">
        <v>9428</v>
      </c>
      <c r="TV53" s="1" t="s">
        <v>61</v>
      </c>
      <c r="TW53" s="1">
        <v>2023</v>
      </c>
      <c r="TX53" s="1" t="s">
        <v>69</v>
      </c>
      <c r="TY53" s="1">
        <v>29171.376087963399</v>
      </c>
      <c r="TZ53" s="1">
        <v>61560292.543660469</v>
      </c>
      <c r="UA53" s="1">
        <v>4.7386675538090001E-4</v>
      </c>
      <c r="UB53" s="1"/>
      <c r="UC53" s="22">
        <v>10348</v>
      </c>
      <c r="UD53" s="1" t="s">
        <v>44</v>
      </c>
      <c r="UE53" s="1">
        <v>2023</v>
      </c>
      <c r="UF53" s="1" t="s">
        <v>69</v>
      </c>
      <c r="UG53" s="1">
        <v>5003.2195633306892</v>
      </c>
      <c r="UH53" s="1">
        <v>7441719.4347760417</v>
      </c>
      <c r="UI53" s="1">
        <v>6.7232036993360004E-4</v>
      </c>
      <c r="UJ53" s="1"/>
      <c r="UK53" s="22">
        <v>11268</v>
      </c>
      <c r="UL53" s="1" t="s">
        <v>38</v>
      </c>
      <c r="UM53" s="1">
        <v>2023</v>
      </c>
      <c r="UN53" s="1" t="s">
        <v>69</v>
      </c>
      <c r="UO53" s="1">
        <v>1180.3103190034169</v>
      </c>
      <c r="UP53" s="1">
        <v>6903943.3587640161</v>
      </c>
      <c r="UQ53" s="1">
        <v>1.7096176165830001E-4</v>
      </c>
      <c r="UR53" s="1"/>
      <c r="US53" s="22">
        <v>12188</v>
      </c>
      <c r="UT53" s="1" t="s">
        <v>31</v>
      </c>
      <c r="UU53" s="1">
        <v>2023</v>
      </c>
      <c r="UV53" s="1" t="s">
        <v>69</v>
      </c>
      <c r="UW53" s="1">
        <v>9839.6019050076393</v>
      </c>
      <c r="UX53" s="1">
        <v>10632926.743356841</v>
      </c>
      <c r="UY53" s="1">
        <v>9.2538979553819997E-4</v>
      </c>
      <c r="UZ53" s="1"/>
      <c r="VA53" s="22">
        <v>13108</v>
      </c>
      <c r="VB53" s="1" t="s">
        <v>51</v>
      </c>
      <c r="VC53" s="1">
        <v>2023</v>
      </c>
      <c r="VD53" s="1" t="s">
        <v>69</v>
      </c>
      <c r="VE53" s="1">
        <v>24403.750018348739</v>
      </c>
      <c r="VF53" s="1">
        <v>5258125.7228930313</v>
      </c>
      <c r="VG53" s="1">
        <v>4.6411499656804998E-3</v>
      </c>
      <c r="VH53" s="1"/>
      <c r="VI53" s="22">
        <v>14028</v>
      </c>
      <c r="VJ53" s="1" t="s">
        <v>57</v>
      </c>
      <c r="VK53" s="1">
        <v>2023</v>
      </c>
      <c r="VL53" s="1" t="s">
        <v>69</v>
      </c>
      <c r="VM53" s="1">
        <v>0</v>
      </c>
      <c r="VN53" s="1">
        <v>9238375.7834414635</v>
      </c>
      <c r="VO53" s="1">
        <v>0</v>
      </c>
      <c r="VP53" s="1"/>
      <c r="VQ53" s="22">
        <v>8554</v>
      </c>
      <c r="VR53" s="1" t="s">
        <v>17</v>
      </c>
      <c r="VS53" s="1">
        <v>2024</v>
      </c>
      <c r="VT53" s="1" t="s">
        <v>69</v>
      </c>
      <c r="VU53" s="1">
        <v>2991.7536148287918</v>
      </c>
      <c r="VV53" s="1">
        <v>5123318.5714479852</v>
      </c>
      <c r="VW53" s="1">
        <v>5.8394838679399997E-4</v>
      </c>
      <c r="VX53" s="1"/>
      <c r="VY53" s="22">
        <v>9474</v>
      </c>
      <c r="VZ53" s="1" t="s">
        <v>61</v>
      </c>
      <c r="WA53" s="1">
        <v>2024</v>
      </c>
      <c r="WB53" s="1" t="s">
        <v>69</v>
      </c>
      <c r="WC53" s="1">
        <v>30712.20041303441</v>
      </c>
      <c r="WD53" s="1">
        <v>64811890.820126347</v>
      </c>
      <c r="WE53" s="1">
        <v>4.7386675538090001E-4</v>
      </c>
      <c r="WF53" s="1"/>
      <c r="WG53" s="22">
        <v>10394</v>
      </c>
      <c r="WH53" s="1" t="s">
        <v>44</v>
      </c>
      <c r="WI53" s="1">
        <v>2024</v>
      </c>
      <c r="WJ53" s="1" t="s">
        <v>69</v>
      </c>
      <c r="WK53" s="1">
        <v>5409.9818809835624</v>
      </c>
      <c r="WL53" s="1">
        <v>8046732.0684004631</v>
      </c>
      <c r="WM53" s="1">
        <v>6.7232036993360004E-4</v>
      </c>
      <c r="WN53" s="1"/>
      <c r="WO53" s="22">
        <v>11314</v>
      </c>
      <c r="WP53" s="1" t="s">
        <v>38</v>
      </c>
      <c r="WQ53" s="1">
        <v>2024</v>
      </c>
      <c r="WR53" s="1" t="s">
        <v>69</v>
      </c>
      <c r="WS53" s="1">
        <v>1222.9500507938919</v>
      </c>
      <c r="WT53" s="1">
        <v>7153354.2877160665</v>
      </c>
      <c r="WU53" s="1">
        <v>1.7096176165830001E-4</v>
      </c>
      <c r="WV53" s="1"/>
      <c r="WW53" s="22">
        <v>12234</v>
      </c>
      <c r="WX53" s="1" t="s">
        <v>31</v>
      </c>
      <c r="WY53" s="1">
        <v>2024</v>
      </c>
      <c r="WZ53" s="1" t="s">
        <v>69</v>
      </c>
      <c r="XA53" s="1">
        <v>10131.439579557251</v>
      </c>
      <c r="XB53" s="1">
        <v>10948294.03609846</v>
      </c>
      <c r="XC53" s="1">
        <v>9.2538979553819997E-4</v>
      </c>
      <c r="XD53" s="1"/>
      <c r="XE53" s="22">
        <v>13154</v>
      </c>
      <c r="XF53" s="1" t="s">
        <v>51</v>
      </c>
      <c r="XG53" s="1">
        <v>2024</v>
      </c>
      <c r="XH53" s="1" t="s">
        <v>69</v>
      </c>
      <c r="XI53" s="1">
        <v>25125.50320055773</v>
      </c>
      <c r="XJ53" s="1">
        <v>5413637.436055948</v>
      </c>
      <c r="XK53" s="1">
        <v>4.6411499656804998E-3</v>
      </c>
      <c r="XL53" s="1"/>
      <c r="XM53" s="22">
        <v>14074</v>
      </c>
      <c r="XN53" s="1" t="s">
        <v>57</v>
      </c>
      <c r="XO53" s="1">
        <v>2024</v>
      </c>
      <c r="XP53" s="1" t="s">
        <v>69</v>
      </c>
      <c r="XQ53" s="1">
        <v>0</v>
      </c>
      <c r="XR53" s="1">
        <v>8828421.583522588</v>
      </c>
      <c r="XS53" s="1">
        <v>0</v>
      </c>
      <c r="XT53" s="1"/>
    </row>
    <row r="54" spans="1:644" x14ac:dyDescent="0.25">
      <c r="A54" s="2">
        <v>45</v>
      </c>
      <c r="B54" s="1" t="s">
        <v>17</v>
      </c>
      <c r="C54" s="1" t="s">
        <v>69</v>
      </c>
      <c r="D54" s="1">
        <v>7.0940485624094768E-4</v>
      </c>
      <c r="E54" s="1">
        <v>7.2104177907453151E-4</v>
      </c>
      <c r="F54" s="1">
        <v>7.2356497518195233E-4</v>
      </c>
      <c r="G54" s="1">
        <v>6.978184335956145E-4</v>
      </c>
      <c r="H54" s="1">
        <v>6.8529371219774643E-4</v>
      </c>
      <c r="I54" s="1">
        <v>6.8274995145788163E-4</v>
      </c>
      <c r="J54" s="1">
        <v>5.8394838679403142E-4</v>
      </c>
      <c r="K54" s="1">
        <v>5.8394838679400117E-4</v>
      </c>
      <c r="L54" s="1">
        <v>5.8394838679400117E-4</v>
      </c>
      <c r="M54" s="1">
        <v>5.8394838679400117E-4</v>
      </c>
      <c r="N54" s="1">
        <v>5.8394838679400127E-4</v>
      </c>
      <c r="O54" s="1">
        <v>6.4905596742897379E-4</v>
      </c>
      <c r="P54" s="1"/>
      <c r="AC54" s="22">
        <v>919</v>
      </c>
      <c r="AD54" s="1" t="s">
        <v>17</v>
      </c>
      <c r="AE54" s="1">
        <v>2014</v>
      </c>
      <c r="AF54" s="1" t="s">
        <v>58</v>
      </c>
      <c r="AG54" s="1">
        <v>903792.4</v>
      </c>
      <c r="AH54" s="1">
        <v>4088215.6</v>
      </c>
      <c r="AI54" s="1">
        <v>0.2210725872676578</v>
      </c>
      <c r="AJ54" s="1"/>
      <c r="AK54" s="22">
        <v>2115</v>
      </c>
      <c r="AL54" s="1" t="s">
        <v>61</v>
      </c>
      <c r="AM54" s="1">
        <v>2014</v>
      </c>
      <c r="AN54" s="1" t="s">
        <v>58</v>
      </c>
      <c r="AO54" s="1">
        <v>9237549.5999999996</v>
      </c>
      <c r="AP54" s="1">
        <v>40350049.200000003</v>
      </c>
      <c r="AQ54" s="1">
        <v>0.22893527475550141</v>
      </c>
      <c r="AR54" s="1"/>
      <c r="AS54" s="22">
        <v>3311</v>
      </c>
      <c r="AT54" s="1" t="s">
        <v>44</v>
      </c>
      <c r="AU54" s="1">
        <v>2014</v>
      </c>
      <c r="AV54" s="1" t="s">
        <v>58</v>
      </c>
      <c r="AW54" s="1">
        <v>1464148.6</v>
      </c>
      <c r="AX54" s="1">
        <v>6735816.8000000007</v>
      </c>
      <c r="AY54" s="1">
        <v>0.21736763980873111</v>
      </c>
      <c r="AZ54" s="1"/>
      <c r="BA54" s="22">
        <v>4507</v>
      </c>
      <c r="BB54" s="1" t="s">
        <v>38</v>
      </c>
      <c r="BC54" s="1">
        <v>2014</v>
      </c>
      <c r="BD54" s="1" t="s">
        <v>58</v>
      </c>
      <c r="BE54" s="1">
        <v>1473079.9</v>
      </c>
      <c r="BF54" s="1">
        <v>6538596.7000000002</v>
      </c>
      <c r="BG54" s="1">
        <v>0.2252899158010464</v>
      </c>
      <c r="BH54" s="1"/>
      <c r="BI54" s="22">
        <v>5703</v>
      </c>
      <c r="BJ54" s="1" t="s">
        <v>31</v>
      </c>
      <c r="BK54" s="1">
        <v>2014</v>
      </c>
      <c r="BL54" s="1" t="s">
        <v>58</v>
      </c>
      <c r="BM54" s="1">
        <v>1931782.7</v>
      </c>
      <c r="BN54" s="1">
        <v>9155477.5</v>
      </c>
      <c r="BO54" s="1">
        <v>0.21099748210838809</v>
      </c>
      <c r="BP54" s="1"/>
      <c r="BQ54" s="22">
        <v>6899</v>
      </c>
      <c r="BR54" s="1" t="s">
        <v>51</v>
      </c>
      <c r="BS54" s="1">
        <v>2014</v>
      </c>
      <c r="BT54" s="1" t="s">
        <v>58</v>
      </c>
      <c r="BU54" s="1">
        <v>841943.5</v>
      </c>
      <c r="BV54" s="1">
        <v>4981875.5</v>
      </c>
      <c r="BW54" s="1">
        <v>0.16900131285898251</v>
      </c>
      <c r="BX54" s="1"/>
      <c r="BY54" s="22">
        <v>8095</v>
      </c>
      <c r="BZ54" s="1" t="s">
        <v>57</v>
      </c>
      <c r="CA54" s="1">
        <v>2014</v>
      </c>
      <c r="CB54" s="1" t="s">
        <v>58</v>
      </c>
      <c r="CC54" s="1">
        <v>2233423.7000000002</v>
      </c>
      <c r="CD54" s="1">
        <v>11026913.800000001</v>
      </c>
      <c r="CE54" s="1">
        <v>0.2025429544937587</v>
      </c>
      <c r="CF54" s="1"/>
      <c r="CG54" s="22">
        <v>965</v>
      </c>
      <c r="CH54" s="1" t="s">
        <v>17</v>
      </c>
      <c r="CI54" s="1">
        <v>2015</v>
      </c>
      <c r="CJ54" s="1" t="s">
        <v>58</v>
      </c>
      <c r="CK54" s="1">
        <v>802982.90000000014</v>
      </c>
      <c r="CL54" s="1">
        <v>3555133.8</v>
      </c>
      <c r="CM54" s="1">
        <v>0.2258657325358612</v>
      </c>
      <c r="CN54" s="1"/>
      <c r="CO54" s="22">
        <v>2161</v>
      </c>
      <c r="CP54" s="1" t="s">
        <v>61</v>
      </c>
      <c r="CQ54" s="1">
        <v>2015</v>
      </c>
      <c r="CR54" s="1" t="s">
        <v>58</v>
      </c>
      <c r="CS54" s="1">
        <v>9687557.0999999996</v>
      </c>
      <c r="CT54" s="1">
        <v>41208556.399999999</v>
      </c>
      <c r="CU54" s="1">
        <v>0.23508605848663019</v>
      </c>
      <c r="CV54" s="1"/>
      <c r="CW54" s="22">
        <v>3357</v>
      </c>
      <c r="CX54" s="1" t="s">
        <v>44</v>
      </c>
      <c r="CY54" s="1">
        <v>2015</v>
      </c>
      <c r="CZ54" s="1" t="s">
        <v>58</v>
      </c>
      <c r="DA54" s="1">
        <v>1402390.7</v>
      </c>
      <c r="DB54" s="1">
        <v>6404349.4000000004</v>
      </c>
      <c r="DC54" s="1">
        <v>0.21897473301503501</v>
      </c>
      <c r="DD54" s="1"/>
      <c r="DE54" s="22">
        <v>4553</v>
      </c>
      <c r="DF54" s="1" t="s">
        <v>38</v>
      </c>
      <c r="DG54" s="1">
        <v>2015</v>
      </c>
      <c r="DH54" s="1" t="s">
        <v>58</v>
      </c>
      <c r="DI54" s="1">
        <v>1246236.7</v>
      </c>
      <c r="DJ54" s="1">
        <v>5531517.5999999996</v>
      </c>
      <c r="DK54" s="1">
        <v>0.22529743013020509</v>
      </c>
      <c r="DL54" s="1"/>
      <c r="DM54" s="22">
        <v>5749</v>
      </c>
      <c r="DN54" s="1" t="s">
        <v>31</v>
      </c>
      <c r="DO54" s="1">
        <v>2015</v>
      </c>
      <c r="DP54" s="1" t="s">
        <v>58</v>
      </c>
      <c r="DQ54" s="1">
        <v>1700078.300000001</v>
      </c>
      <c r="DR54" s="1">
        <v>7894528</v>
      </c>
      <c r="DS54" s="1">
        <v>0.21534894803083859</v>
      </c>
      <c r="DT54" s="1"/>
      <c r="DU54" s="22">
        <v>6945</v>
      </c>
      <c r="DV54" s="1" t="s">
        <v>51</v>
      </c>
      <c r="DW54" s="1">
        <v>2015</v>
      </c>
      <c r="DX54" s="1" t="s">
        <v>58</v>
      </c>
      <c r="DY54" s="1">
        <v>716583.2</v>
      </c>
      <c r="DZ54" s="1">
        <v>4209274.5999999996</v>
      </c>
      <c r="EA54" s="1">
        <v>0.1702391191109271</v>
      </c>
      <c r="EB54" s="1"/>
      <c r="EC54" s="22">
        <v>8141</v>
      </c>
      <c r="ED54" s="1" t="s">
        <v>57</v>
      </c>
      <c r="EE54" s="1">
        <v>2015</v>
      </c>
      <c r="EF54" s="1" t="s">
        <v>58</v>
      </c>
      <c r="EG54" s="1">
        <v>1980734.8</v>
      </c>
      <c r="EH54" s="1">
        <v>9729477.0999999996</v>
      </c>
      <c r="EI54" s="1">
        <v>0.20358080703021539</v>
      </c>
      <c r="EJ54" s="1"/>
      <c r="EK54" s="22">
        <v>1011</v>
      </c>
      <c r="EL54" s="1" t="s">
        <v>17</v>
      </c>
      <c r="EM54" s="1">
        <v>2016</v>
      </c>
      <c r="EN54" s="1" t="s">
        <v>58</v>
      </c>
      <c r="EO54" s="1">
        <v>774343.79999999993</v>
      </c>
      <c r="EP54" s="1">
        <v>3463407</v>
      </c>
      <c r="EQ54" s="1">
        <v>0.2235786322543091</v>
      </c>
      <c r="ER54" s="1"/>
      <c r="ES54" s="22">
        <v>2207</v>
      </c>
      <c r="ET54" s="1" t="s">
        <v>61</v>
      </c>
      <c r="EU54" s="1">
        <v>2016</v>
      </c>
      <c r="EV54" s="1" t="s">
        <v>58</v>
      </c>
      <c r="EW54" s="1">
        <v>9954765.2999999952</v>
      </c>
      <c r="EX54" s="1">
        <v>42141395.200000003</v>
      </c>
      <c r="EY54" s="1">
        <v>0.23622296444518279</v>
      </c>
      <c r="EZ54" s="1"/>
      <c r="FA54" s="22">
        <v>3403</v>
      </c>
      <c r="FB54" s="1" t="s">
        <v>44</v>
      </c>
      <c r="FC54" s="1">
        <v>2016</v>
      </c>
      <c r="FD54" s="1" t="s">
        <v>58</v>
      </c>
      <c r="FE54" s="1">
        <v>1290902.3</v>
      </c>
      <c r="FF54" s="1">
        <v>5868597.7999999998</v>
      </c>
      <c r="FG54" s="1">
        <v>0.21996775788587861</v>
      </c>
      <c r="FH54" s="1"/>
      <c r="FI54" s="22">
        <v>4599</v>
      </c>
      <c r="FJ54" s="1" t="s">
        <v>38</v>
      </c>
      <c r="FK54" s="1">
        <v>2016</v>
      </c>
      <c r="FL54" s="1" t="s">
        <v>58</v>
      </c>
      <c r="FM54" s="1">
        <v>1267484.8999999999</v>
      </c>
      <c r="FN54" s="1">
        <v>5582986.5</v>
      </c>
      <c r="FO54" s="1">
        <v>0.22702632363520839</v>
      </c>
      <c r="FP54" s="1"/>
      <c r="FQ54" s="22">
        <v>5795</v>
      </c>
      <c r="FR54" s="1" t="s">
        <v>31</v>
      </c>
      <c r="FS54" s="1">
        <v>2016</v>
      </c>
      <c r="FT54" s="1" t="s">
        <v>58</v>
      </c>
      <c r="FU54" s="1">
        <v>1762544.9</v>
      </c>
      <c r="FV54" s="1">
        <v>8130820.9000000004</v>
      </c>
      <c r="FW54" s="1">
        <v>0.2167733026809138</v>
      </c>
      <c r="FX54" s="1"/>
      <c r="FY54" s="22">
        <v>6991</v>
      </c>
      <c r="FZ54" s="1" t="s">
        <v>51</v>
      </c>
      <c r="GA54" s="1">
        <v>2016</v>
      </c>
      <c r="GB54" s="1" t="s">
        <v>58</v>
      </c>
      <c r="GC54" s="1">
        <v>732297.19999999984</v>
      </c>
      <c r="GD54" s="1">
        <v>4230502.5999999996</v>
      </c>
      <c r="GE54" s="1">
        <v>0.17309933812592379</v>
      </c>
      <c r="GF54" s="1"/>
      <c r="GG54" s="22">
        <v>8187</v>
      </c>
      <c r="GH54" s="1" t="s">
        <v>57</v>
      </c>
      <c r="GI54" s="1">
        <v>2016</v>
      </c>
      <c r="GJ54" s="1" t="s">
        <v>58</v>
      </c>
      <c r="GK54" s="1">
        <v>2261480.2000000002</v>
      </c>
      <c r="GL54" s="1">
        <v>10773649.5</v>
      </c>
      <c r="GM54" s="1">
        <v>0.2099084623088954</v>
      </c>
      <c r="GN54" s="1"/>
      <c r="GO54" s="22">
        <v>1057</v>
      </c>
      <c r="GP54" s="1" t="s">
        <v>17</v>
      </c>
      <c r="GQ54" s="1">
        <v>2017</v>
      </c>
      <c r="GR54" s="1" t="s">
        <v>58</v>
      </c>
      <c r="GS54" s="1">
        <v>824351.39999999979</v>
      </c>
      <c r="GT54" s="1">
        <v>3719735.5</v>
      </c>
      <c r="GU54" s="1">
        <v>0.22161559605514949</v>
      </c>
      <c r="GV54" s="1"/>
      <c r="GW54" s="22">
        <v>2253</v>
      </c>
      <c r="GX54" s="1" t="s">
        <v>61</v>
      </c>
      <c r="GY54" s="1">
        <v>2017</v>
      </c>
      <c r="GZ54" s="1" t="s">
        <v>58</v>
      </c>
      <c r="HA54" s="1">
        <v>10413129.199999999</v>
      </c>
      <c r="HB54" s="1">
        <v>44107004.100000001</v>
      </c>
      <c r="HC54" s="1">
        <v>0.23608788246853521</v>
      </c>
      <c r="HD54" s="1"/>
      <c r="HE54" s="22">
        <v>3449</v>
      </c>
      <c r="HF54" s="1" t="s">
        <v>44</v>
      </c>
      <c r="HG54" s="1">
        <v>2017</v>
      </c>
      <c r="HH54" s="1" t="s">
        <v>58</v>
      </c>
      <c r="HI54" s="1">
        <v>1283010.8</v>
      </c>
      <c r="HJ54" s="1">
        <v>5855367.5</v>
      </c>
      <c r="HK54" s="1">
        <v>0.2191170409030688</v>
      </c>
      <c r="HL54" s="1"/>
      <c r="HM54" s="22">
        <v>4645</v>
      </c>
      <c r="HN54" s="1" t="s">
        <v>38</v>
      </c>
      <c r="HO54" s="1">
        <v>2017</v>
      </c>
      <c r="HP54" s="1" t="s">
        <v>58</v>
      </c>
      <c r="HQ54" s="1">
        <v>1334350.7</v>
      </c>
      <c r="HR54" s="1">
        <v>5923445.7000000002</v>
      </c>
      <c r="HS54" s="1">
        <v>0.22526596301878821</v>
      </c>
      <c r="HT54" s="1"/>
      <c r="HU54" s="22">
        <v>5841</v>
      </c>
      <c r="HV54" s="1" t="s">
        <v>31</v>
      </c>
      <c r="HW54" s="1">
        <v>2017</v>
      </c>
      <c r="HX54" s="1" t="s">
        <v>58</v>
      </c>
      <c r="HY54" s="1">
        <v>1877271.4</v>
      </c>
      <c r="HZ54" s="1">
        <v>8686095.3000000007</v>
      </c>
      <c r="IA54" s="1">
        <v>0.2161237397429889</v>
      </c>
      <c r="IB54" s="1"/>
      <c r="IC54" s="22">
        <v>7037</v>
      </c>
      <c r="ID54" s="1" t="s">
        <v>51</v>
      </c>
      <c r="IE54" s="1">
        <v>2017</v>
      </c>
      <c r="IF54" s="1" t="s">
        <v>58</v>
      </c>
      <c r="IG54" s="1">
        <v>766164.1</v>
      </c>
      <c r="IH54" s="1">
        <v>4472691.8</v>
      </c>
      <c r="II54" s="1">
        <v>0.17129821017401639</v>
      </c>
      <c r="IJ54" s="1"/>
      <c r="IK54" s="22">
        <v>8233</v>
      </c>
      <c r="IL54" s="1" t="s">
        <v>57</v>
      </c>
      <c r="IM54" s="1">
        <v>2017</v>
      </c>
      <c r="IN54" s="1" t="s">
        <v>58</v>
      </c>
      <c r="IO54" s="1">
        <v>2234398</v>
      </c>
      <c r="IP54" s="1">
        <v>10750260.5</v>
      </c>
      <c r="IQ54" s="1">
        <v>0.20784594010535831</v>
      </c>
      <c r="IR54" s="1"/>
      <c r="IS54" s="22">
        <v>1103</v>
      </c>
      <c r="IT54" s="1" t="s">
        <v>17</v>
      </c>
      <c r="IU54" s="1">
        <v>2018</v>
      </c>
      <c r="IV54" s="1" t="s">
        <v>58</v>
      </c>
      <c r="IW54" s="1">
        <v>869676.90000000014</v>
      </c>
      <c r="IX54" s="1">
        <v>3904165.4</v>
      </c>
      <c r="IY54" s="1">
        <v>0.22275616191875469</v>
      </c>
      <c r="IZ54" s="1"/>
      <c r="JA54" s="22">
        <v>2299</v>
      </c>
      <c r="JB54" s="1" t="s">
        <v>61</v>
      </c>
      <c r="JC54" s="1">
        <v>2018</v>
      </c>
      <c r="JD54" s="1" t="s">
        <v>58</v>
      </c>
      <c r="JE54" s="1">
        <v>10945380.9</v>
      </c>
      <c r="JF54" s="1">
        <v>46669099.200000003</v>
      </c>
      <c r="JG54" s="1">
        <v>0.2345316512987248</v>
      </c>
      <c r="JH54" s="1"/>
      <c r="JI54" s="22">
        <v>3495</v>
      </c>
      <c r="JJ54" s="1" t="s">
        <v>44</v>
      </c>
      <c r="JK54" s="1">
        <v>2018</v>
      </c>
      <c r="JL54" s="1" t="s">
        <v>58</v>
      </c>
      <c r="JM54" s="1">
        <v>1384019.7</v>
      </c>
      <c r="JN54" s="1">
        <v>6336724.7000000002</v>
      </c>
      <c r="JO54" s="1">
        <v>0.2184124710357071</v>
      </c>
      <c r="JP54" s="1"/>
      <c r="JQ54" s="22">
        <v>4691</v>
      </c>
      <c r="JR54" s="1" t="s">
        <v>38</v>
      </c>
      <c r="JS54" s="1">
        <v>2018</v>
      </c>
      <c r="JT54" s="1" t="s">
        <v>58</v>
      </c>
      <c r="JU54" s="1">
        <v>1431351.6</v>
      </c>
      <c r="JV54" s="1">
        <v>6390706</v>
      </c>
      <c r="JW54" s="1">
        <v>0.22397393965549339</v>
      </c>
      <c r="JX54" s="1"/>
      <c r="JY54" s="22">
        <v>5887</v>
      </c>
      <c r="JZ54" s="1" t="s">
        <v>31</v>
      </c>
      <c r="KA54" s="1">
        <v>2018</v>
      </c>
      <c r="KB54" s="1" t="s">
        <v>58</v>
      </c>
      <c r="KC54" s="1">
        <v>2053618.6</v>
      </c>
      <c r="KD54" s="1">
        <v>9443218.3000000007</v>
      </c>
      <c r="KE54" s="1">
        <v>0.2174702029285927</v>
      </c>
      <c r="KF54" s="1"/>
      <c r="KG54" s="22">
        <v>7083</v>
      </c>
      <c r="KH54" s="1" t="s">
        <v>51</v>
      </c>
      <c r="KI54" s="1">
        <v>2018</v>
      </c>
      <c r="KJ54" s="1" t="s">
        <v>58</v>
      </c>
      <c r="KK54" s="1">
        <v>827866.99999999988</v>
      </c>
      <c r="KL54" s="1">
        <v>4803387.8</v>
      </c>
      <c r="KM54" s="1">
        <v>0.17235064801555261</v>
      </c>
      <c r="KN54" s="1"/>
      <c r="KO54" s="22">
        <v>8279</v>
      </c>
      <c r="KP54" s="1" t="s">
        <v>57</v>
      </c>
      <c r="KQ54" s="1">
        <v>2018</v>
      </c>
      <c r="KR54" s="1" t="s">
        <v>58</v>
      </c>
      <c r="KS54" s="1">
        <v>2341908.6</v>
      </c>
      <c r="KT54" s="1">
        <v>11172914.4</v>
      </c>
      <c r="KU54" s="1">
        <v>0.20960588402968519</v>
      </c>
      <c r="KV54" s="1"/>
      <c r="KW54" s="22">
        <v>1149</v>
      </c>
      <c r="KX54" s="1" t="s">
        <v>17</v>
      </c>
      <c r="KY54" s="1">
        <v>2019</v>
      </c>
      <c r="KZ54" s="1" t="s">
        <v>58</v>
      </c>
      <c r="LA54" s="1">
        <v>885430.60000000009</v>
      </c>
      <c r="LB54" s="1">
        <v>3955328</v>
      </c>
      <c r="LC54" s="1">
        <v>0.2238576927122099</v>
      </c>
      <c r="LD54" s="1"/>
      <c r="LE54" s="22">
        <v>2345</v>
      </c>
      <c r="LF54" s="1" t="s">
        <v>61</v>
      </c>
      <c r="LG54" s="1">
        <v>2019</v>
      </c>
      <c r="LH54" s="1" t="s">
        <v>58</v>
      </c>
      <c r="LI54" s="1">
        <v>11438093.5</v>
      </c>
      <c r="LJ54" s="1">
        <v>48356774.5</v>
      </c>
      <c r="LK54" s="1">
        <v>0.2365354930776038</v>
      </c>
      <c r="LL54" s="1"/>
      <c r="LM54" s="22">
        <v>3541</v>
      </c>
      <c r="LN54" s="1" t="s">
        <v>44</v>
      </c>
      <c r="LO54" s="1">
        <v>2019</v>
      </c>
      <c r="LP54" s="1" t="s">
        <v>58</v>
      </c>
      <c r="LQ54" s="1">
        <v>1387674.9</v>
      </c>
      <c r="LR54" s="1">
        <v>6269787.0999999996</v>
      </c>
      <c r="LS54" s="1">
        <v>0.22132727600910079</v>
      </c>
      <c r="LT54" s="1"/>
      <c r="LU54" s="22">
        <v>4737</v>
      </c>
      <c r="LV54" s="1" t="s">
        <v>38</v>
      </c>
      <c r="LW54" s="1">
        <v>2019</v>
      </c>
      <c r="LX54" s="1" t="s">
        <v>58</v>
      </c>
      <c r="LY54" s="1">
        <v>1369323.9</v>
      </c>
      <c r="LZ54" s="1">
        <v>6182094.5</v>
      </c>
      <c r="MA54" s="1">
        <v>0.22149837728944449</v>
      </c>
      <c r="MB54" s="1"/>
      <c r="MC54" s="22">
        <v>5933</v>
      </c>
      <c r="MD54" s="1" t="s">
        <v>31</v>
      </c>
      <c r="ME54" s="1">
        <v>2019</v>
      </c>
      <c r="MF54" s="1" t="s">
        <v>58</v>
      </c>
      <c r="MG54" s="1">
        <v>2037572.7</v>
      </c>
      <c r="MH54" s="1">
        <v>9237079</v>
      </c>
      <c r="MI54" s="1">
        <v>0.22058625892449329</v>
      </c>
      <c r="MJ54" s="1"/>
      <c r="MK54" s="22">
        <v>7129</v>
      </c>
      <c r="ML54" s="1" t="s">
        <v>51</v>
      </c>
      <c r="MM54" s="1">
        <v>2019</v>
      </c>
      <c r="MN54" s="1" t="s">
        <v>58</v>
      </c>
      <c r="MO54" s="1">
        <v>800510.29999999993</v>
      </c>
      <c r="MP54" s="1">
        <v>4608662</v>
      </c>
      <c r="MQ54" s="1">
        <v>0.1736968994471714</v>
      </c>
      <c r="MR54" s="1"/>
      <c r="MS54" s="22">
        <v>8325</v>
      </c>
      <c r="MT54" s="1" t="s">
        <v>57</v>
      </c>
      <c r="MU54" s="1">
        <v>2019</v>
      </c>
      <c r="MV54" s="1" t="s">
        <v>58</v>
      </c>
      <c r="MW54" s="1">
        <v>2419621.2000000002</v>
      </c>
      <c r="MX54" s="1">
        <v>11338077</v>
      </c>
      <c r="MY54" s="1">
        <v>0.21340666499266139</v>
      </c>
      <c r="MZ54" s="1"/>
      <c r="NA54" s="22">
        <v>1195</v>
      </c>
      <c r="NB54" s="1" t="s">
        <v>17</v>
      </c>
      <c r="NC54" s="1">
        <v>2020</v>
      </c>
      <c r="ND54" s="1" t="s">
        <v>58</v>
      </c>
      <c r="NE54" s="1">
        <v>865678.3</v>
      </c>
      <c r="NF54" s="1">
        <v>3784752.3</v>
      </c>
      <c r="NG54" s="1">
        <v>0.2287278615300663</v>
      </c>
      <c r="NH54" s="1"/>
      <c r="NI54" s="22">
        <v>2391</v>
      </c>
      <c r="NJ54" s="1" t="s">
        <v>61</v>
      </c>
      <c r="NK54" s="1">
        <v>2020</v>
      </c>
      <c r="NL54" s="1" t="s">
        <v>58</v>
      </c>
      <c r="NM54" s="1">
        <v>11576953.300000001</v>
      </c>
      <c r="NN54" s="1">
        <v>47421769.399999999</v>
      </c>
      <c r="NO54" s="1">
        <v>0.24412740069542829</v>
      </c>
      <c r="NP54" s="1"/>
      <c r="NQ54" s="22">
        <v>3587</v>
      </c>
      <c r="NR54" s="1" t="s">
        <v>44</v>
      </c>
      <c r="NS54" s="1">
        <v>2020</v>
      </c>
      <c r="NT54" s="1" t="s">
        <v>58</v>
      </c>
      <c r="NU54" s="1">
        <v>1351568.466666667</v>
      </c>
      <c r="NV54" s="1">
        <v>5955345.3666666672</v>
      </c>
      <c r="NW54" s="1">
        <v>0.2269504761607416</v>
      </c>
      <c r="NX54" s="1"/>
      <c r="NY54" s="22">
        <v>4783</v>
      </c>
      <c r="NZ54" s="1" t="s">
        <v>38</v>
      </c>
      <c r="OA54" s="1">
        <v>2020</v>
      </c>
      <c r="OB54" s="1" t="s">
        <v>58</v>
      </c>
      <c r="OC54" s="1">
        <v>1343844.300000001</v>
      </c>
      <c r="OD54" s="1">
        <v>5990228.4000000004</v>
      </c>
      <c r="OE54" s="1">
        <v>0.22433940916176079</v>
      </c>
      <c r="OF54" s="1"/>
      <c r="OG54" s="22">
        <v>5979</v>
      </c>
      <c r="OH54" s="1" t="s">
        <v>31</v>
      </c>
      <c r="OI54" s="1">
        <v>2020</v>
      </c>
      <c r="OJ54" s="1" t="s">
        <v>58</v>
      </c>
      <c r="OK54" s="1">
        <v>2072924.300000001</v>
      </c>
      <c r="OL54" s="1">
        <v>9257180.0999999996</v>
      </c>
      <c r="OM54" s="1">
        <v>0.2239261068281474</v>
      </c>
      <c r="ON54" s="1"/>
      <c r="OO54" s="22">
        <v>7175</v>
      </c>
      <c r="OP54" s="1" t="s">
        <v>51</v>
      </c>
      <c r="OQ54" s="1">
        <v>2020</v>
      </c>
      <c r="OR54" s="1" t="s">
        <v>58</v>
      </c>
      <c r="OS54" s="1">
        <v>769683.50000000012</v>
      </c>
      <c r="OT54" s="1">
        <v>4352046.4000000004</v>
      </c>
      <c r="OU54" s="1">
        <v>0.1768555362828852</v>
      </c>
      <c r="OV54" s="1"/>
      <c r="OW54" s="22">
        <v>8371</v>
      </c>
      <c r="OX54" s="1" t="s">
        <v>57</v>
      </c>
      <c r="OY54" s="1">
        <v>2020</v>
      </c>
      <c r="OZ54" s="1" t="s">
        <v>58</v>
      </c>
      <c r="PA54" s="1">
        <v>2331975.933333334</v>
      </c>
      <c r="PB54" s="1">
        <v>11082248.733333331</v>
      </c>
      <c r="PC54" s="1">
        <v>0.21042443545949169</v>
      </c>
      <c r="PD54" s="1"/>
      <c r="PE54" s="22">
        <v>8417</v>
      </c>
      <c r="PF54" s="1" t="s">
        <v>17</v>
      </c>
      <c r="PG54" s="1">
        <v>2021</v>
      </c>
      <c r="PH54" s="1" t="s">
        <v>58</v>
      </c>
      <c r="PI54" s="1">
        <v>1057408.7265377371</v>
      </c>
      <c r="PJ54" s="1">
        <v>4622999.2247741111</v>
      </c>
      <c r="PK54" s="1">
        <v>0.2287278615300663</v>
      </c>
      <c r="PL54" s="1"/>
      <c r="PM54" s="22">
        <v>9337</v>
      </c>
      <c r="PN54" s="1" t="s">
        <v>61</v>
      </c>
      <c r="PO54" s="1">
        <v>2021</v>
      </c>
      <c r="PP54" s="1" t="s">
        <v>58</v>
      </c>
      <c r="PQ54" s="1">
        <v>12838571.819367711</v>
      </c>
      <c r="PR54" s="1">
        <v>52589638.782026872</v>
      </c>
      <c r="PS54" s="1">
        <v>0.24412740069542829</v>
      </c>
      <c r="PT54" s="1"/>
      <c r="PU54" s="22">
        <v>10257</v>
      </c>
      <c r="PV54" s="1" t="s">
        <v>44</v>
      </c>
      <c r="PW54" s="1">
        <v>2021</v>
      </c>
      <c r="PX54" s="1" t="s">
        <v>58</v>
      </c>
      <c r="PY54" s="1">
        <v>1575364.765625177</v>
      </c>
      <c r="PZ54" s="1">
        <v>6941447.2808129201</v>
      </c>
      <c r="QA54" s="1">
        <v>0.2269504761607416</v>
      </c>
      <c r="QB54" s="1"/>
      <c r="QC54" s="22">
        <v>11177</v>
      </c>
      <c r="QD54" s="1" t="s">
        <v>38</v>
      </c>
      <c r="QE54" s="1">
        <v>2021</v>
      </c>
      <c r="QF54" s="1" t="s">
        <v>58</v>
      </c>
      <c r="QG54" s="1">
        <v>1505485.4346032559</v>
      </c>
      <c r="QH54" s="1">
        <v>6710748.8614170318</v>
      </c>
      <c r="QI54" s="1">
        <v>0.22433940916176079</v>
      </c>
      <c r="QJ54" s="1"/>
      <c r="QK54" s="22">
        <v>12097</v>
      </c>
      <c r="QL54" s="1" t="s">
        <v>31</v>
      </c>
      <c r="QM54" s="1">
        <v>2021</v>
      </c>
      <c r="QN54" s="1" t="s">
        <v>58</v>
      </c>
      <c r="QO54" s="1">
        <v>2287659.0003629322</v>
      </c>
      <c r="QP54" s="1">
        <v>10216133.49495957</v>
      </c>
      <c r="QQ54" s="1">
        <v>0.2239261068281474</v>
      </c>
      <c r="QR54" s="1"/>
      <c r="QS54" s="22">
        <v>13017</v>
      </c>
      <c r="QT54" s="1" t="s">
        <v>51</v>
      </c>
      <c r="QU54" s="1">
        <v>2021</v>
      </c>
      <c r="QV54" s="1" t="s">
        <v>58</v>
      </c>
      <c r="QW54" s="1">
        <v>879328.73741009075</v>
      </c>
      <c r="QX54" s="1">
        <v>4972017.0252605537</v>
      </c>
      <c r="QY54" s="1">
        <v>0.1768555362828852</v>
      </c>
      <c r="QZ54" s="1"/>
      <c r="RA54" s="22">
        <v>13937</v>
      </c>
      <c r="RB54" s="1" t="s">
        <v>57</v>
      </c>
      <c r="RC54" s="1">
        <v>2021</v>
      </c>
      <c r="RD54" s="1" t="s">
        <v>58</v>
      </c>
      <c r="RE54" s="1">
        <v>2325091.762570892</v>
      </c>
      <c r="RF54" s="1">
        <v>11049533.09007922</v>
      </c>
      <c r="RG54" s="1">
        <v>0.21042443545949169</v>
      </c>
      <c r="RH54" s="1"/>
      <c r="RI54" s="22">
        <v>8463</v>
      </c>
      <c r="RJ54" s="1" t="s">
        <v>17</v>
      </c>
      <c r="RK54" s="1">
        <v>2022</v>
      </c>
      <c r="RL54" s="1" t="s">
        <v>58</v>
      </c>
      <c r="RM54" s="1">
        <v>1145263.8221775941</v>
      </c>
      <c r="RN54" s="1">
        <v>5007102.3902221443</v>
      </c>
      <c r="RO54" s="1">
        <v>0.2287278615300663</v>
      </c>
      <c r="RP54" s="1"/>
      <c r="RQ54" s="22">
        <v>9383</v>
      </c>
      <c r="RR54" s="1" t="s">
        <v>61</v>
      </c>
      <c r="RS54" s="1">
        <v>2022</v>
      </c>
      <c r="RT54" s="1" t="s">
        <v>58</v>
      </c>
      <c r="RU54" s="1">
        <v>14099431.34001293</v>
      </c>
      <c r="RV54" s="1">
        <v>57754399.13688051</v>
      </c>
      <c r="RW54" s="1">
        <v>0.24412740069542829</v>
      </c>
      <c r="RX54" s="1"/>
      <c r="RY54" s="22">
        <v>10303</v>
      </c>
      <c r="RZ54" s="1" t="s">
        <v>44</v>
      </c>
      <c r="SA54" s="1">
        <v>2022</v>
      </c>
      <c r="SB54" s="1" t="s">
        <v>58</v>
      </c>
      <c r="SC54" s="1">
        <v>1560690.2557637871</v>
      </c>
      <c r="SD54" s="1">
        <v>6876787.7563667288</v>
      </c>
      <c r="SE54" s="1">
        <v>0.2269504761607416</v>
      </c>
      <c r="SF54" s="1"/>
      <c r="SG54" s="22">
        <v>11223</v>
      </c>
      <c r="SH54" s="1" t="s">
        <v>38</v>
      </c>
      <c r="SI54" s="1">
        <v>2022</v>
      </c>
      <c r="SJ54" s="1" t="s">
        <v>58</v>
      </c>
      <c r="SK54" s="1">
        <v>1419143.185843281</v>
      </c>
      <c r="SL54" s="1">
        <v>6325875.5612572851</v>
      </c>
      <c r="SM54" s="1">
        <v>0.22433940916176079</v>
      </c>
      <c r="SN54" s="1"/>
      <c r="SO54" s="22">
        <v>12143</v>
      </c>
      <c r="SP54" s="1" t="s">
        <v>31</v>
      </c>
      <c r="SQ54" s="1">
        <v>2022</v>
      </c>
      <c r="SR54" s="1" t="s">
        <v>58</v>
      </c>
      <c r="SS54" s="1">
        <v>2190487.5500565972</v>
      </c>
      <c r="ST54" s="1">
        <v>9782189.227885304</v>
      </c>
      <c r="SU54" s="1">
        <v>0.2239261068281474</v>
      </c>
      <c r="SV54" s="1"/>
      <c r="SW54" s="22">
        <v>13063</v>
      </c>
      <c r="SX54" s="1" t="s">
        <v>51</v>
      </c>
      <c r="SY54" s="1">
        <v>2022</v>
      </c>
      <c r="SZ54" s="1" t="s">
        <v>58</v>
      </c>
      <c r="TA54" s="1">
        <v>849009.14392025059</v>
      </c>
      <c r="TB54" s="1">
        <v>4800579.963537232</v>
      </c>
      <c r="TC54" s="1">
        <v>0.1768555362828852</v>
      </c>
      <c r="TD54" s="1"/>
      <c r="TE54" s="22">
        <v>13983</v>
      </c>
      <c r="TF54" s="1" t="s">
        <v>57</v>
      </c>
      <c r="TG54" s="1">
        <v>2022</v>
      </c>
      <c r="TH54" s="1" t="s">
        <v>58</v>
      </c>
      <c r="TI54" s="1">
        <v>1966722.688208909</v>
      </c>
      <c r="TJ54" s="1">
        <v>9346455.8140041605</v>
      </c>
      <c r="TK54" s="1">
        <v>0.21042443545949169</v>
      </c>
      <c r="TL54" s="1"/>
      <c r="TM54" s="22">
        <v>8509</v>
      </c>
      <c r="TN54" s="1" t="s">
        <v>17</v>
      </c>
      <c r="TO54" s="1">
        <v>2023</v>
      </c>
      <c r="TP54" s="1" t="s">
        <v>58</v>
      </c>
      <c r="TQ54" s="1">
        <v>1136338.7106940949</v>
      </c>
      <c r="TR54" s="1">
        <v>4968081.7329930915</v>
      </c>
      <c r="TS54" s="1">
        <v>0.2287278615300663</v>
      </c>
      <c r="TT54" s="1"/>
      <c r="TU54" s="22">
        <v>9429</v>
      </c>
      <c r="TV54" s="1" t="s">
        <v>61</v>
      </c>
      <c r="TW54" s="1">
        <v>2023</v>
      </c>
      <c r="TX54" s="1" t="s">
        <v>58</v>
      </c>
      <c r="TY54" s="1">
        <v>15028554.20473399</v>
      </c>
      <c r="TZ54" s="1">
        <v>61560292.543660469</v>
      </c>
      <c r="UA54" s="1">
        <v>0.24412740069542829</v>
      </c>
      <c r="UB54" s="1"/>
      <c r="UC54" s="22">
        <v>10349</v>
      </c>
      <c r="UD54" s="1" t="s">
        <v>44</v>
      </c>
      <c r="UE54" s="1">
        <v>2023</v>
      </c>
      <c r="UF54" s="1" t="s">
        <v>58</v>
      </c>
      <c r="UG54" s="1">
        <v>1688901.769177068</v>
      </c>
      <c r="UH54" s="1">
        <v>7441719.4347760417</v>
      </c>
      <c r="UI54" s="1">
        <v>0.2269504761607416</v>
      </c>
      <c r="UJ54" s="1"/>
      <c r="UK54" s="22">
        <v>11269</v>
      </c>
      <c r="UL54" s="1" t="s">
        <v>38</v>
      </c>
      <c r="UM54" s="1">
        <v>2023</v>
      </c>
      <c r="UN54" s="1" t="s">
        <v>58</v>
      </c>
      <c r="UO54" s="1">
        <v>1548826.573991382</v>
      </c>
      <c r="UP54" s="1">
        <v>6903943.3587640161</v>
      </c>
      <c r="UQ54" s="1">
        <v>0.22433940916176079</v>
      </c>
      <c r="UR54" s="1"/>
      <c r="US54" s="22">
        <v>12189</v>
      </c>
      <c r="UT54" s="1" t="s">
        <v>31</v>
      </c>
      <c r="UU54" s="1">
        <v>2023</v>
      </c>
      <c r="UV54" s="1" t="s">
        <v>58</v>
      </c>
      <c r="UW54" s="1">
        <v>2380989.8898287881</v>
      </c>
      <c r="UX54" s="1">
        <v>10632926.743356841</v>
      </c>
      <c r="UY54" s="1">
        <v>0.2239261068281474</v>
      </c>
      <c r="UZ54" s="1"/>
      <c r="VA54" s="22">
        <v>13109</v>
      </c>
      <c r="VB54" s="1" t="s">
        <v>51</v>
      </c>
      <c r="VC54" s="1">
        <v>2023</v>
      </c>
      <c r="VD54" s="1" t="s">
        <v>58</v>
      </c>
      <c r="VE54" s="1">
        <v>929928.64456508041</v>
      </c>
      <c r="VF54" s="1">
        <v>5258125.7228930313</v>
      </c>
      <c r="VG54" s="1">
        <v>0.1768555362828852</v>
      </c>
      <c r="VH54" s="1"/>
      <c r="VI54" s="22">
        <v>14029</v>
      </c>
      <c r="VJ54" s="1" t="s">
        <v>57</v>
      </c>
      <c r="VK54" s="1">
        <v>2023</v>
      </c>
      <c r="VL54" s="1" t="s">
        <v>58</v>
      </c>
      <c r="VM54" s="1">
        <v>1943980.0087933091</v>
      </c>
      <c r="VN54" s="1">
        <v>9238375.7834414635</v>
      </c>
      <c r="VO54" s="1">
        <v>0.21042443545949169</v>
      </c>
      <c r="VP54" s="1"/>
      <c r="VQ54" s="22">
        <v>8555</v>
      </c>
      <c r="VR54" s="1" t="s">
        <v>17</v>
      </c>
      <c r="VS54" s="1">
        <v>2024</v>
      </c>
      <c r="VT54" s="1" t="s">
        <v>58</v>
      </c>
      <c r="VU54" s="1">
        <v>1171845.7007845719</v>
      </c>
      <c r="VV54" s="1">
        <v>5123318.5714479852</v>
      </c>
      <c r="VW54" s="1">
        <v>0.2287278615300663</v>
      </c>
      <c r="VX54" s="1"/>
      <c r="VY54" s="22">
        <v>9475</v>
      </c>
      <c r="VZ54" s="1" t="s">
        <v>61</v>
      </c>
      <c r="WA54" s="1">
        <v>2024</v>
      </c>
      <c r="WB54" s="1" t="s">
        <v>58</v>
      </c>
      <c r="WC54" s="1">
        <v>15822358.440073339</v>
      </c>
      <c r="WD54" s="1">
        <v>64811890.820126347</v>
      </c>
      <c r="WE54" s="1">
        <v>0.24412740069542829</v>
      </c>
      <c r="WF54" s="1"/>
      <c r="WG54" s="22">
        <v>10395</v>
      </c>
      <c r="WH54" s="1" t="s">
        <v>44</v>
      </c>
      <c r="WI54" s="1">
        <v>2024</v>
      </c>
      <c r="WJ54" s="1" t="s">
        <v>58</v>
      </c>
      <c r="WK54" s="1">
        <v>1826209.6744613941</v>
      </c>
      <c r="WL54" s="1">
        <v>8046732.0684004631</v>
      </c>
      <c r="WM54" s="1">
        <v>0.2269504761607416</v>
      </c>
      <c r="WN54" s="1"/>
      <c r="WO54" s="22">
        <v>11315</v>
      </c>
      <c r="WP54" s="1" t="s">
        <v>38</v>
      </c>
      <c r="WQ54" s="1">
        <v>2024</v>
      </c>
      <c r="WR54" s="1" t="s">
        <v>58</v>
      </c>
      <c r="WS54" s="1">
        <v>1604779.27443097</v>
      </c>
      <c r="WT54" s="1">
        <v>7153354.2877160665</v>
      </c>
      <c r="WU54" s="1">
        <v>0.22433940916176079</v>
      </c>
      <c r="WV54" s="1"/>
      <c r="WW54" s="22">
        <v>12235</v>
      </c>
      <c r="WX54" s="1" t="s">
        <v>31</v>
      </c>
      <c r="WY54" s="1">
        <v>2024</v>
      </c>
      <c r="WZ54" s="1" t="s">
        <v>58</v>
      </c>
      <c r="XA54" s="1">
        <v>2451608.8599133529</v>
      </c>
      <c r="XB54" s="1">
        <v>10948294.03609846</v>
      </c>
      <c r="XC54" s="1">
        <v>0.2239261068281474</v>
      </c>
      <c r="XD54" s="1"/>
      <c r="XE54" s="22">
        <v>13155</v>
      </c>
      <c r="XF54" s="1" t="s">
        <v>51</v>
      </c>
      <c r="XG54" s="1">
        <v>2024</v>
      </c>
      <c r="XH54" s="1" t="s">
        <v>58</v>
      </c>
      <c r="XI54" s="1">
        <v>957431.7519947784</v>
      </c>
      <c r="XJ54" s="1">
        <v>5413637.436055948</v>
      </c>
      <c r="XK54" s="1">
        <v>0.1768555362828852</v>
      </c>
      <c r="XL54" s="1"/>
      <c r="XM54" s="22">
        <v>14075</v>
      </c>
      <c r="XN54" s="1" t="s">
        <v>57</v>
      </c>
      <c r="XO54" s="1">
        <v>2024</v>
      </c>
      <c r="XP54" s="1" t="s">
        <v>58</v>
      </c>
      <c r="XQ54" s="1">
        <v>1857715.6277111319</v>
      </c>
      <c r="XR54" s="1">
        <v>8828421.583522588</v>
      </c>
      <c r="XS54" s="1">
        <v>0.21042443545949169</v>
      </c>
      <c r="XT54" s="1"/>
    </row>
    <row r="55" spans="1:644" x14ac:dyDescent="0.25">
      <c r="A55" s="2">
        <v>46</v>
      </c>
      <c r="B55" s="1" t="s">
        <v>31</v>
      </c>
      <c r="C55" s="1" t="s">
        <v>18</v>
      </c>
      <c r="D55" s="1">
        <v>8.7498440141434465E-3</v>
      </c>
      <c r="E55" s="1">
        <v>7.6776090983526812E-3</v>
      </c>
      <c r="F55" s="1">
        <v>7.3661196989347026E-3</v>
      </c>
      <c r="G55" s="1">
        <v>7.8768074303766835E-3</v>
      </c>
      <c r="H55" s="1">
        <v>7.1513966800915733E-3</v>
      </c>
      <c r="I55" s="1">
        <v>7.4473867767072257E-3</v>
      </c>
      <c r="J55" s="1">
        <v>7.4131322129079016E-3</v>
      </c>
      <c r="K55" s="1">
        <v>7.413132212907912E-3</v>
      </c>
      <c r="L55" s="1">
        <v>7.413132212907912E-3</v>
      </c>
      <c r="M55" s="1">
        <v>7.4131322129079129E-3</v>
      </c>
      <c r="N55" s="1">
        <v>7.4131322129079146E-3</v>
      </c>
      <c r="O55" s="1">
        <v>7.5758931602859878E-3</v>
      </c>
      <c r="P55" s="1"/>
    </row>
    <row r="56" spans="1:644" x14ac:dyDescent="0.25">
      <c r="A56" s="2">
        <v>47</v>
      </c>
      <c r="B56" s="1" t="s">
        <v>31</v>
      </c>
      <c r="C56" s="1" t="s">
        <v>20</v>
      </c>
      <c r="D56" s="1">
        <v>5.8271127857613113E-5</v>
      </c>
      <c r="E56" s="1">
        <v>5.8622884104027498E-5</v>
      </c>
      <c r="F56" s="1">
        <v>6.0584288604856608E-5</v>
      </c>
      <c r="G56" s="1">
        <v>6.1822945921396921E-5</v>
      </c>
      <c r="H56" s="1">
        <v>6.4067141177918119E-5</v>
      </c>
      <c r="I56" s="1">
        <v>5.186704584858482E-5</v>
      </c>
      <c r="J56" s="1">
        <v>5.2640220319360531E-5</v>
      </c>
      <c r="K56" s="1">
        <v>5.2640220319360633E-5</v>
      </c>
      <c r="L56" s="1">
        <v>5.2640220319360633E-5</v>
      </c>
      <c r="M56" s="1">
        <v>5.2640220319360633E-5</v>
      </c>
      <c r="N56" s="1">
        <v>5.264022031936064E-5</v>
      </c>
      <c r="O56" s="1">
        <v>5.6221503191927283E-5</v>
      </c>
      <c r="P56" s="1"/>
    </row>
    <row r="57" spans="1:644" x14ac:dyDescent="0.25">
      <c r="A57" s="2">
        <v>48</v>
      </c>
      <c r="B57" s="1" t="s">
        <v>31</v>
      </c>
      <c r="C57" s="1" t="s">
        <v>22</v>
      </c>
      <c r="D57" s="1">
        <v>7.0115403593094946E-4</v>
      </c>
      <c r="E57" s="1">
        <v>6.997885117387639E-4</v>
      </c>
      <c r="F57" s="1">
        <v>5.6941360004621427E-4</v>
      </c>
      <c r="G57" s="1">
        <v>5.3993190703307149E-4</v>
      </c>
      <c r="H57" s="1">
        <v>7.5333427376130858E-4</v>
      </c>
      <c r="I57" s="1">
        <v>8.5602818813176765E-4</v>
      </c>
      <c r="J57" s="1">
        <v>8.1638251804131996E-4</v>
      </c>
      <c r="K57" s="1">
        <v>8.1638251804130142E-4</v>
      </c>
      <c r="L57" s="1">
        <v>8.1638251804130142E-4</v>
      </c>
      <c r="M57" s="1">
        <v>8.1638251804130142E-4</v>
      </c>
      <c r="N57" s="1">
        <v>8.1638251804130152E-4</v>
      </c>
      <c r="O57" s="1">
        <v>7.4559664607714562E-4</v>
      </c>
      <c r="P57" s="1"/>
      <c r="AD57">
        <f>SUM(AI25+AI34+AI41+AI42+AI43+AI46)/6</f>
        <v>2.2642519146984268E-2</v>
      </c>
    </row>
    <row r="58" spans="1:644" x14ac:dyDescent="0.25">
      <c r="A58" s="2">
        <v>49</v>
      </c>
      <c r="B58" s="1" t="s">
        <v>31</v>
      </c>
      <c r="C58" s="1" t="s">
        <v>24</v>
      </c>
      <c r="D58" s="1">
        <v>9.536040037234542E-4</v>
      </c>
      <c r="E58" s="1">
        <v>9.8237665380374864E-4</v>
      </c>
      <c r="F58" s="1">
        <v>9.0326672919335859E-4</v>
      </c>
      <c r="G58" s="1">
        <v>8.9954113213563285E-4</v>
      </c>
      <c r="H58" s="1">
        <v>8.0759543597546605E-4</v>
      </c>
      <c r="I58" s="1">
        <v>8.0515712813542027E-4</v>
      </c>
      <c r="J58" s="1">
        <v>7.5316672298511274E-4</v>
      </c>
      <c r="K58" s="1">
        <v>7.5316672298510114E-4</v>
      </c>
      <c r="L58" s="1">
        <v>7.5316672298510125E-4</v>
      </c>
      <c r="M58" s="1">
        <v>7.5316672298510125E-4</v>
      </c>
      <c r="N58" s="1">
        <v>7.5316672298510136E-4</v>
      </c>
      <c r="O58" s="1">
        <v>8.2885224526296352E-4</v>
      </c>
      <c r="P58" s="1"/>
    </row>
    <row r="59" spans="1:644" x14ac:dyDescent="0.25">
      <c r="A59" s="2">
        <v>50</v>
      </c>
      <c r="B59" s="1" t="s">
        <v>31</v>
      </c>
      <c r="C59" s="1" t="s">
        <v>26</v>
      </c>
      <c r="D59" s="1">
        <v>7.7057695789214714E-5</v>
      </c>
      <c r="E59" s="1">
        <v>5.6051482748556972E-5</v>
      </c>
      <c r="F59" s="1">
        <v>4.933081234146973E-5</v>
      </c>
      <c r="G59" s="1">
        <v>4.0616639331599318E-5</v>
      </c>
      <c r="H59" s="1">
        <v>3.0985199187865863E-5</v>
      </c>
      <c r="I59" s="1">
        <v>3.1514291476775289E-5</v>
      </c>
      <c r="J59" s="1">
        <v>3.0927344710512857E-5</v>
      </c>
      <c r="K59" s="1">
        <v>3.0927344710512932E-5</v>
      </c>
      <c r="L59" s="1">
        <v>3.0927344710512932E-5</v>
      </c>
      <c r="M59" s="1">
        <v>3.0927344710512932E-5</v>
      </c>
      <c r="N59" s="1">
        <v>3.0927344710512932E-5</v>
      </c>
      <c r="O59" s="1">
        <v>4.0017531311640591E-5</v>
      </c>
      <c r="P59" s="1"/>
    </row>
    <row r="60" spans="1:644" x14ac:dyDescent="0.25">
      <c r="A60" s="2">
        <v>51</v>
      </c>
      <c r="B60" s="1" t="s">
        <v>31</v>
      </c>
      <c r="C60" s="1" t="s">
        <v>28</v>
      </c>
      <c r="D60" s="1">
        <v>2.6217278126673349E-2</v>
      </c>
      <c r="E60" s="1">
        <v>2.505686217086063E-2</v>
      </c>
      <c r="F60" s="1">
        <v>2.4849926284810919E-2</v>
      </c>
      <c r="G60" s="1">
        <v>2.5277606613411201E-2</v>
      </c>
      <c r="H60" s="1">
        <v>2.419949351377379E-2</v>
      </c>
      <c r="I60" s="1">
        <v>2.3834829170563551E-2</v>
      </c>
      <c r="J60" s="1">
        <v>2.5445934664272109E-2</v>
      </c>
      <c r="K60" s="1">
        <v>2.5445934664272141E-2</v>
      </c>
      <c r="L60" s="1">
        <v>2.5445934664272141E-2</v>
      </c>
      <c r="M60" s="1">
        <v>2.5445934664272141E-2</v>
      </c>
      <c r="N60" s="1">
        <v>2.5445934664272151E-2</v>
      </c>
      <c r="O60" s="1">
        <v>2.5151424472859459E-2</v>
      </c>
      <c r="P60" s="1"/>
    </row>
    <row r="61" spans="1:644" x14ac:dyDescent="0.25">
      <c r="A61" s="2">
        <v>52</v>
      </c>
      <c r="B61" s="1" t="s">
        <v>31</v>
      </c>
      <c r="C61" s="1" t="s">
        <v>30</v>
      </c>
      <c r="D61" s="1">
        <v>3.4133118671309062E-3</v>
      </c>
      <c r="E61" s="1">
        <v>3.1620509801219281E-3</v>
      </c>
      <c r="F61" s="1">
        <v>3.116794762998653E-3</v>
      </c>
      <c r="G61" s="1">
        <v>3.0365542961519202E-3</v>
      </c>
      <c r="H61" s="1">
        <v>2.9161350638267042E-3</v>
      </c>
      <c r="I61" s="1">
        <v>2.8441566863290869E-3</v>
      </c>
      <c r="J61" s="1">
        <v>2.6448442976711659E-3</v>
      </c>
      <c r="K61" s="1">
        <v>2.6448442976711038E-3</v>
      </c>
      <c r="L61" s="1">
        <v>2.6448442976711038E-3</v>
      </c>
      <c r="M61" s="1">
        <v>2.6448442976711038E-3</v>
      </c>
      <c r="N61" s="1">
        <v>2.6448442976711051E-3</v>
      </c>
      <c r="O61" s="1">
        <v>2.883020467719525E-3</v>
      </c>
      <c r="P61" s="1"/>
    </row>
    <row r="62" spans="1:644" x14ac:dyDescent="0.25">
      <c r="A62" s="2">
        <v>53</v>
      </c>
      <c r="B62" s="1" t="s">
        <v>31</v>
      </c>
      <c r="C62" s="1" t="s">
        <v>32</v>
      </c>
      <c r="D62" s="1">
        <v>3.5385920614189699E-3</v>
      </c>
      <c r="E62" s="1">
        <v>3.5902336403138991E-3</v>
      </c>
      <c r="F62" s="1">
        <v>3.3165654897158049E-3</v>
      </c>
      <c r="G62" s="1">
        <v>3.1664055078925971E-3</v>
      </c>
      <c r="H62" s="1">
        <v>3.060259657451739E-3</v>
      </c>
      <c r="I62" s="1">
        <v>3.0464933773977679E-3</v>
      </c>
      <c r="J62" s="1">
        <v>3.273577879293933E-3</v>
      </c>
      <c r="K62" s="1">
        <v>3.2735778792939048E-3</v>
      </c>
      <c r="L62" s="1">
        <v>3.2735778792939061E-3</v>
      </c>
      <c r="M62" s="1">
        <v>3.2735778792939061E-3</v>
      </c>
      <c r="N62" s="1">
        <v>3.2735778792939061E-3</v>
      </c>
      <c r="O62" s="1">
        <v>3.280585375514576E-3</v>
      </c>
      <c r="P62" s="1"/>
    </row>
    <row r="63" spans="1:644" x14ac:dyDescent="0.25">
      <c r="A63" s="2">
        <v>54</v>
      </c>
      <c r="B63" s="1" t="s">
        <v>31</v>
      </c>
      <c r="C63" s="1" t="s">
        <v>33</v>
      </c>
      <c r="D63" s="1">
        <v>8.2372437701911227E-3</v>
      </c>
      <c r="E63" s="1">
        <v>7.9270983648420772E-3</v>
      </c>
      <c r="F63" s="1">
        <v>7.8573616103141571E-3</v>
      </c>
      <c r="G63" s="1">
        <v>7.732012795208452E-3</v>
      </c>
      <c r="H63" s="1">
        <v>7.2665163316196976E-3</v>
      </c>
      <c r="I63" s="1">
        <v>6.8789170256095024E-3</v>
      </c>
      <c r="J63" s="1">
        <v>6.4591483966051381E-3</v>
      </c>
      <c r="K63" s="1">
        <v>6.4591483966051112E-3</v>
      </c>
      <c r="L63" s="1">
        <v>6.4591483966051112E-3</v>
      </c>
      <c r="M63" s="1">
        <v>6.4591483966051104E-3</v>
      </c>
      <c r="N63" s="1">
        <v>6.4591483966051121E-3</v>
      </c>
      <c r="O63" s="1">
        <v>7.1086265346191439E-3</v>
      </c>
      <c r="P63" s="1"/>
    </row>
    <row r="64" spans="1:644" x14ac:dyDescent="0.25">
      <c r="A64" s="2">
        <v>55</v>
      </c>
      <c r="B64" s="1" t="s">
        <v>31</v>
      </c>
      <c r="C64" s="1" t="s">
        <v>34</v>
      </c>
      <c r="D64" s="1">
        <v>1.0077377176668279E-2</v>
      </c>
      <c r="E64" s="1">
        <v>7.7169401387898054E-3</v>
      </c>
      <c r="F64" s="1">
        <v>6.7238967224084352E-3</v>
      </c>
      <c r="G64" s="1">
        <v>6.6561553843416839E-3</v>
      </c>
      <c r="H64" s="1">
        <v>7.0551265345629036E-3</v>
      </c>
      <c r="I64" s="1">
        <v>6.9393906883334E-3</v>
      </c>
      <c r="J64" s="1">
        <v>4.7995825424202339E-3</v>
      </c>
      <c r="K64" s="1">
        <v>4.7995825424202079E-3</v>
      </c>
      <c r="L64" s="1">
        <v>4.7995825424202079E-3</v>
      </c>
      <c r="M64" s="1">
        <v>4.7995825424202087E-3</v>
      </c>
      <c r="N64" s="1">
        <v>4.7995825424202087E-3</v>
      </c>
      <c r="O64" s="1">
        <v>6.2878908506550516E-3</v>
      </c>
      <c r="P64" s="1"/>
    </row>
    <row r="65" spans="1:16" x14ac:dyDescent="0.25">
      <c r="A65" s="2">
        <v>56</v>
      </c>
      <c r="B65" s="1" t="s">
        <v>31</v>
      </c>
      <c r="C65" s="1" t="s">
        <v>35</v>
      </c>
      <c r="D65" s="1">
        <v>1.9730461901085988E-2</v>
      </c>
      <c r="E65" s="1">
        <v>1.934595709838511E-2</v>
      </c>
      <c r="F65" s="1">
        <v>1.8110077913535149E-2</v>
      </c>
      <c r="G65" s="1">
        <v>1.951489065518312E-2</v>
      </c>
      <c r="H65" s="1">
        <v>1.7579949411949951E-2</v>
      </c>
      <c r="I65" s="1">
        <v>1.6673950715372251E-2</v>
      </c>
      <c r="J65" s="1">
        <v>1.6850930662999631E-2</v>
      </c>
      <c r="K65" s="1">
        <v>1.6850930662999631E-2</v>
      </c>
      <c r="L65" s="1">
        <v>1.6850930662999631E-2</v>
      </c>
      <c r="M65" s="1">
        <v>1.6850930662999631E-2</v>
      </c>
      <c r="N65" s="1">
        <v>1.6850930662999631E-2</v>
      </c>
      <c r="O65" s="1">
        <v>1.7746358273682709E-2</v>
      </c>
      <c r="P65" s="1"/>
    </row>
    <row r="66" spans="1:16" x14ac:dyDescent="0.25">
      <c r="A66" s="2">
        <v>57</v>
      </c>
      <c r="B66" s="1" t="s">
        <v>31</v>
      </c>
      <c r="C66" s="1" t="s">
        <v>36</v>
      </c>
      <c r="D66" s="1">
        <v>6.758249364929355E-3</v>
      </c>
      <c r="E66" s="1">
        <v>7.5982249983786243E-3</v>
      </c>
      <c r="F66" s="1">
        <v>7.8559472389805075E-3</v>
      </c>
      <c r="G66" s="1">
        <v>6.8148573041790133E-3</v>
      </c>
      <c r="H66" s="1">
        <v>8.7981022317359745E-3</v>
      </c>
      <c r="I66" s="1">
        <v>8.7813366108485148E-3</v>
      </c>
      <c r="J66" s="1">
        <v>8.4249630187058777E-3</v>
      </c>
      <c r="K66" s="1">
        <v>8.4249630187058135E-3</v>
      </c>
      <c r="L66" s="1">
        <v>8.4249630187058135E-3</v>
      </c>
      <c r="M66" s="1">
        <v>8.4249630187058153E-3</v>
      </c>
      <c r="N66" s="1">
        <v>8.4249630187058153E-3</v>
      </c>
      <c r="O66" s="1">
        <v>8.0665029856891932E-3</v>
      </c>
      <c r="P66" s="1"/>
    </row>
    <row r="67" spans="1:16" x14ac:dyDescent="0.25">
      <c r="A67" s="2">
        <v>58</v>
      </c>
      <c r="B67" s="1" t="s">
        <v>31</v>
      </c>
      <c r="C67" s="1" t="s">
        <v>37</v>
      </c>
      <c r="D67" s="1">
        <v>1.1091120042619289E-2</v>
      </c>
      <c r="E67" s="1">
        <v>1.106049658700305E-2</v>
      </c>
      <c r="F67" s="1">
        <v>1.1028111564971259E-2</v>
      </c>
      <c r="G67" s="1">
        <v>1.0973227521461799E-2</v>
      </c>
      <c r="H67" s="1">
        <v>1.0766806058057561E-2</v>
      </c>
      <c r="I67" s="1">
        <v>1.030616929875776E-2</v>
      </c>
      <c r="J67" s="1">
        <v>9.7649823189677361E-3</v>
      </c>
      <c r="K67" s="1">
        <v>9.7649823189677153E-3</v>
      </c>
      <c r="L67" s="1">
        <v>9.7649823189677153E-3</v>
      </c>
      <c r="M67" s="1">
        <v>9.764982318967717E-3</v>
      </c>
      <c r="N67" s="1">
        <v>9.764982318967717E-3</v>
      </c>
      <c r="O67" s="1">
        <v>1.0368258424337209E-2</v>
      </c>
      <c r="P67" s="1"/>
    </row>
    <row r="68" spans="1:16" x14ac:dyDescent="0.25">
      <c r="A68" s="2">
        <v>59</v>
      </c>
      <c r="B68" s="1" t="s">
        <v>31</v>
      </c>
      <c r="C68" s="1" t="s">
        <v>39</v>
      </c>
      <c r="D68" s="1">
        <v>6.6455081124933138E-3</v>
      </c>
      <c r="E68" s="1">
        <v>6.236712315163111E-3</v>
      </c>
      <c r="F68" s="1">
        <v>6.2746431913166352E-3</v>
      </c>
      <c r="G68" s="1">
        <v>6.2390634834503826E-3</v>
      </c>
      <c r="H68" s="1">
        <v>6.3135679072461974E-3</v>
      </c>
      <c r="I68" s="1">
        <v>6.1765629589180726E-3</v>
      </c>
      <c r="J68" s="1">
        <v>6.2285922254013389E-3</v>
      </c>
      <c r="K68" s="1">
        <v>6.2285922254013103E-3</v>
      </c>
      <c r="L68" s="1">
        <v>6.2285922254013103E-3</v>
      </c>
      <c r="M68" s="1">
        <v>6.2285922254013103E-3</v>
      </c>
      <c r="N68" s="1">
        <v>6.2285922254013111E-3</v>
      </c>
      <c r="O68" s="1">
        <v>6.2753653723267551E-3</v>
      </c>
      <c r="P68" s="1"/>
    </row>
    <row r="69" spans="1:16" x14ac:dyDescent="0.25">
      <c r="A69" s="2">
        <v>60</v>
      </c>
      <c r="B69" s="1" t="s">
        <v>31</v>
      </c>
      <c r="C69" s="1" t="s">
        <v>40</v>
      </c>
      <c r="D69" s="1">
        <v>1.4128143507534149E-2</v>
      </c>
      <c r="E69" s="1">
        <v>1.381636748897464E-2</v>
      </c>
      <c r="F69" s="1">
        <v>1.2498024645949341E-2</v>
      </c>
      <c r="G69" s="1">
        <v>1.341233269683329E-2</v>
      </c>
      <c r="H69" s="1">
        <v>1.353964251784797E-2</v>
      </c>
      <c r="I69" s="1">
        <v>1.2573043924383451E-2</v>
      </c>
      <c r="J69" s="1">
        <v>1.1295037891722551E-2</v>
      </c>
      <c r="K69" s="1">
        <v>1.129503789172252E-2</v>
      </c>
      <c r="L69" s="1">
        <v>1.129503789172252E-2</v>
      </c>
      <c r="M69" s="1">
        <v>1.129503789172252E-2</v>
      </c>
      <c r="N69" s="1">
        <v>1.129503789172252E-2</v>
      </c>
      <c r="O69" s="1">
        <v>1.240388584001231E-2</v>
      </c>
      <c r="P69" s="1"/>
    </row>
    <row r="70" spans="1:16" x14ac:dyDescent="0.25">
      <c r="A70" s="2">
        <v>61</v>
      </c>
      <c r="B70" s="1" t="s">
        <v>31</v>
      </c>
      <c r="C70" s="1" t="s">
        <v>41</v>
      </c>
      <c r="D70" s="1">
        <v>1.8389581537391141E-2</v>
      </c>
      <c r="E70" s="1">
        <v>1.7724403536221539E-2</v>
      </c>
      <c r="F70" s="1">
        <v>1.7823624672387021E-2</v>
      </c>
      <c r="G70" s="1">
        <v>1.7783399175922001E-2</v>
      </c>
      <c r="H70" s="1">
        <v>1.765823839950835E-2</v>
      </c>
      <c r="I70" s="1">
        <v>1.672221272547306E-2</v>
      </c>
      <c r="J70" s="1">
        <v>1.5660849031121259E-2</v>
      </c>
      <c r="K70" s="1">
        <v>1.5660849031121232E-2</v>
      </c>
      <c r="L70" s="1">
        <v>1.5660849031121232E-2</v>
      </c>
      <c r="M70" s="1">
        <v>1.5660849031121232E-2</v>
      </c>
      <c r="N70" s="1">
        <v>1.5660849031121232E-2</v>
      </c>
      <c r="O70" s="1">
        <v>1.6764155018409929E-2</v>
      </c>
      <c r="P70" s="1"/>
    </row>
    <row r="71" spans="1:16" x14ac:dyDescent="0.25">
      <c r="A71" s="2">
        <v>62</v>
      </c>
      <c r="B71" s="1" t="s">
        <v>31</v>
      </c>
      <c r="C71" s="20" t="s">
        <v>19</v>
      </c>
      <c r="D71" s="20">
        <v>1.060998729995241E-2</v>
      </c>
      <c r="E71" s="20">
        <v>1.16271802443414E-2</v>
      </c>
      <c r="F71" s="20">
        <v>1.1890336927726451E-2</v>
      </c>
      <c r="G71" s="20">
        <v>1.14530403551985E-2</v>
      </c>
      <c r="H71" s="20">
        <v>1.174460829736404E-2</v>
      </c>
      <c r="I71" s="20">
        <v>1.170471747616319E-2</v>
      </c>
      <c r="J71" s="20">
        <v>1.141384296930768E-2</v>
      </c>
      <c r="K71" s="20">
        <v>1.1413842969307621E-2</v>
      </c>
      <c r="L71" s="20">
        <v>1.1413842969307621E-2</v>
      </c>
      <c r="M71" s="20">
        <v>1.1413842969307621E-2</v>
      </c>
      <c r="N71" s="20">
        <v>1.1413842969307621E-2</v>
      </c>
      <c r="O71" s="20">
        <v>1.1463553222480379E-2</v>
      </c>
      <c r="P71" s="1"/>
    </row>
    <row r="72" spans="1:16" x14ac:dyDescent="0.25">
      <c r="A72" s="2">
        <v>63</v>
      </c>
      <c r="B72" s="1" t="s">
        <v>31</v>
      </c>
      <c r="C72" s="1" t="s">
        <v>42</v>
      </c>
      <c r="D72" s="1">
        <v>1.513505985897513E-2</v>
      </c>
      <c r="E72" s="1">
        <v>1.43592245160192E-2</v>
      </c>
      <c r="F72" s="1">
        <v>1.414559506531499E-2</v>
      </c>
      <c r="G72" s="1">
        <v>1.4160804797985579E-2</v>
      </c>
      <c r="H72" s="1">
        <v>1.362691149478139E-2</v>
      </c>
      <c r="I72" s="1">
        <v>1.311402663114606E-2</v>
      </c>
      <c r="J72" s="1">
        <v>1.3123996582933501E-2</v>
      </c>
      <c r="K72" s="1">
        <v>1.312399658293352E-2</v>
      </c>
      <c r="L72" s="1">
        <v>1.312399658293352E-2</v>
      </c>
      <c r="M72" s="1">
        <v>1.312399658293352E-2</v>
      </c>
      <c r="N72" s="1">
        <v>1.312399658293352E-2</v>
      </c>
      <c r="O72" s="1">
        <v>1.3651055025353629E-2</v>
      </c>
      <c r="P72" s="1"/>
    </row>
    <row r="73" spans="1:16" x14ac:dyDescent="0.25">
      <c r="A73" s="2">
        <v>64</v>
      </c>
      <c r="B73" s="1" t="s">
        <v>31</v>
      </c>
      <c r="C73" s="1" t="s">
        <v>43</v>
      </c>
      <c r="D73" s="1">
        <v>3.5039963781244611E-2</v>
      </c>
      <c r="E73" s="1">
        <v>3.4499731966242952E-2</v>
      </c>
      <c r="F73" s="1">
        <v>3.4310213375872048E-2</v>
      </c>
      <c r="G73" s="1">
        <v>3.5247725177502937E-2</v>
      </c>
      <c r="H73" s="1">
        <v>3.4956493592867587E-2</v>
      </c>
      <c r="I73" s="1">
        <v>3.3549772606686602E-2</v>
      </c>
      <c r="J73" s="1">
        <v>3.0553105475392011E-2</v>
      </c>
      <c r="K73" s="1">
        <v>3.0553105475392049E-2</v>
      </c>
      <c r="L73" s="1">
        <v>3.0553105475392049E-2</v>
      </c>
      <c r="M73" s="1">
        <v>3.0553105475392049E-2</v>
      </c>
      <c r="N73" s="1">
        <v>3.055310547539206E-2</v>
      </c>
      <c r="O73" s="1">
        <v>3.2760857079761542E-2</v>
      </c>
      <c r="P73" s="1"/>
    </row>
    <row r="74" spans="1:16" x14ac:dyDescent="0.25">
      <c r="A74" s="2">
        <v>65</v>
      </c>
      <c r="B74" s="1" t="s">
        <v>31</v>
      </c>
      <c r="C74" s="1" t="s">
        <v>45</v>
      </c>
      <c r="D74" s="1">
        <v>5.1790253430255277E-2</v>
      </c>
      <c r="E74" s="1">
        <v>5.3898789135968607E-2</v>
      </c>
      <c r="F74" s="1">
        <v>5.4083874852045993E-2</v>
      </c>
      <c r="G74" s="1">
        <v>5.3784028825932861E-2</v>
      </c>
      <c r="H74" s="1">
        <v>5.2064707643155933E-2</v>
      </c>
      <c r="I74" s="1">
        <v>4.9765082663036662E-2</v>
      </c>
      <c r="J74" s="1">
        <v>4.4182525950856227E-2</v>
      </c>
      <c r="K74" s="1">
        <v>4.4182525950856283E-2</v>
      </c>
      <c r="L74" s="1">
        <v>4.4182525950856283E-2</v>
      </c>
      <c r="M74" s="1">
        <v>4.4182525950856283E-2</v>
      </c>
      <c r="N74" s="1">
        <v>4.4182525950856283E-2</v>
      </c>
      <c r="O74" s="1">
        <v>4.8754487845879699E-2</v>
      </c>
      <c r="P74" s="1"/>
    </row>
    <row r="75" spans="1:16" x14ac:dyDescent="0.25">
      <c r="A75" s="2">
        <v>66</v>
      </c>
      <c r="B75" s="1" t="s">
        <v>31</v>
      </c>
      <c r="C75" s="1" t="s">
        <v>46</v>
      </c>
      <c r="D75" s="1">
        <v>5.9767062941282964E-3</v>
      </c>
      <c r="E75" s="1">
        <v>6.1257620468253464E-3</v>
      </c>
      <c r="F75" s="1">
        <v>6.2382876986012571E-3</v>
      </c>
      <c r="G75" s="1">
        <v>7.0025135459888393E-3</v>
      </c>
      <c r="H75" s="1">
        <v>6.5009086997385194E-3</v>
      </c>
      <c r="I75" s="1">
        <v>6.8728869808301956E-3</v>
      </c>
      <c r="J75" s="1">
        <v>5.9536272822433246E-3</v>
      </c>
      <c r="K75" s="1">
        <v>5.9536272822433099E-3</v>
      </c>
      <c r="L75" s="1">
        <v>5.9536272822433107E-3</v>
      </c>
      <c r="M75" s="1">
        <v>5.9536272822433107E-3</v>
      </c>
      <c r="N75" s="1">
        <v>5.9536272822433116E-3</v>
      </c>
      <c r="O75" s="1">
        <v>6.2259274252117304E-3</v>
      </c>
      <c r="P75" s="1"/>
    </row>
    <row r="76" spans="1:16" x14ac:dyDescent="0.25">
      <c r="A76" s="2">
        <v>67</v>
      </c>
      <c r="B76" s="1" t="s">
        <v>31</v>
      </c>
      <c r="C76" s="1" t="s">
        <v>47</v>
      </c>
      <c r="D76" s="1">
        <v>1.311482661608857E-2</v>
      </c>
      <c r="E76" s="1">
        <v>1.2927181967053629E-2</v>
      </c>
      <c r="F76" s="1">
        <v>1.312369332843133E-2</v>
      </c>
      <c r="G76" s="1">
        <v>1.3138699963377101E-2</v>
      </c>
      <c r="H76" s="1">
        <v>1.259417035821358E-2</v>
      </c>
      <c r="I76" s="1">
        <v>1.2675706248696151E-2</v>
      </c>
      <c r="J76" s="1">
        <v>1.255357449511002E-2</v>
      </c>
      <c r="K76" s="1">
        <v>1.255357449511002E-2</v>
      </c>
      <c r="L76" s="1">
        <v>1.255357449511002E-2</v>
      </c>
      <c r="M76" s="1">
        <v>1.255357449511002E-2</v>
      </c>
      <c r="N76" s="1">
        <v>1.255357449511002E-2</v>
      </c>
      <c r="O76" s="1">
        <v>1.2758377359764589E-2</v>
      </c>
      <c r="P76" s="1"/>
    </row>
    <row r="77" spans="1:16" x14ac:dyDescent="0.25">
      <c r="A77" s="2">
        <v>68</v>
      </c>
      <c r="B77" s="1" t="s">
        <v>31</v>
      </c>
      <c r="C77" s="1" t="s">
        <v>48</v>
      </c>
      <c r="D77" s="1">
        <v>1.8315636732218501E-2</v>
      </c>
      <c r="E77" s="1">
        <v>1.8149774122024769E-2</v>
      </c>
      <c r="F77" s="1">
        <v>1.84385318338521E-2</v>
      </c>
      <c r="G77" s="1">
        <v>1.9167784171099302E-2</v>
      </c>
      <c r="H77" s="1">
        <v>1.900763005764677E-2</v>
      </c>
      <c r="I77" s="1">
        <v>1.885323271566693E-2</v>
      </c>
      <c r="J77" s="1">
        <v>1.945635690937891E-2</v>
      </c>
      <c r="K77" s="1">
        <v>1.9456356909378931E-2</v>
      </c>
      <c r="L77" s="1">
        <v>1.9456356909378931E-2</v>
      </c>
      <c r="M77" s="1">
        <v>1.9456356909378931E-2</v>
      </c>
      <c r="N77" s="1">
        <v>1.9456356909378931E-2</v>
      </c>
      <c r="O77" s="1">
        <v>1.9019488561763911E-2</v>
      </c>
      <c r="P77" s="1"/>
    </row>
    <row r="78" spans="1:16" x14ac:dyDescent="0.25">
      <c r="A78" s="2">
        <v>69</v>
      </c>
      <c r="B78" s="1" t="s">
        <v>31</v>
      </c>
      <c r="C78" s="1" t="s">
        <v>49</v>
      </c>
      <c r="D78" s="1">
        <v>8.9550217342568971E-3</v>
      </c>
      <c r="E78" s="1">
        <v>8.7612710981581181E-3</v>
      </c>
      <c r="F78" s="1">
        <v>8.7560162590717017E-3</v>
      </c>
      <c r="G78" s="1">
        <v>8.9901960896054175E-3</v>
      </c>
      <c r="H78" s="1">
        <v>9.1961550862379188E-3</v>
      </c>
      <c r="I78" s="1">
        <v>9.1940320094696607E-3</v>
      </c>
      <c r="J78" s="1">
        <v>9.5448936982440238E-3</v>
      </c>
      <c r="K78" s="1">
        <v>9.5448936982440134E-3</v>
      </c>
      <c r="L78" s="1">
        <v>9.5448936982440134E-3</v>
      </c>
      <c r="M78" s="1">
        <v>9.5448936982440169E-3</v>
      </c>
      <c r="N78" s="1">
        <v>9.5448936982440169E-3</v>
      </c>
      <c r="O78" s="1">
        <v>9.2342873425472552E-3</v>
      </c>
      <c r="P78" s="1"/>
    </row>
    <row r="79" spans="1:16" x14ac:dyDescent="0.25">
      <c r="A79" s="2">
        <v>70</v>
      </c>
      <c r="B79" s="1" t="s">
        <v>31</v>
      </c>
      <c r="C79" s="1" t="s">
        <v>50</v>
      </c>
      <c r="D79" s="1">
        <v>4.0576168747069721E-2</v>
      </c>
      <c r="E79" s="1">
        <v>3.9909314401063621E-2</v>
      </c>
      <c r="F79" s="1">
        <v>4.0668156889300068E-2</v>
      </c>
      <c r="G79" s="1">
        <v>4.0590920065083781E-2</v>
      </c>
      <c r="H79" s="1">
        <v>4.2557270967674227E-2</v>
      </c>
      <c r="I79" s="1">
        <v>4.3519341991120793E-2</v>
      </c>
      <c r="J79" s="1">
        <v>4.7802613238560623E-2</v>
      </c>
      <c r="K79" s="1">
        <v>4.7802613238560693E-2</v>
      </c>
      <c r="L79" s="1">
        <v>4.7802613238560693E-2</v>
      </c>
      <c r="M79" s="1">
        <v>4.7802613238560693E-2</v>
      </c>
      <c r="N79" s="1">
        <v>4.7802613238560693E-2</v>
      </c>
      <c r="O79" s="1">
        <v>4.4257658114010501E-2</v>
      </c>
      <c r="P79" s="1"/>
    </row>
    <row r="80" spans="1:16" x14ac:dyDescent="0.25">
      <c r="A80" s="2">
        <v>71</v>
      </c>
      <c r="B80" s="1" t="s">
        <v>31</v>
      </c>
      <c r="C80" s="17" t="s">
        <v>21</v>
      </c>
      <c r="D80" s="17">
        <v>6.5870381965331681E-2</v>
      </c>
      <c r="E80" s="17">
        <v>6.5381286886309106E-2</v>
      </c>
      <c r="F80" s="17">
        <v>6.6301435811973175E-2</v>
      </c>
      <c r="G80" s="17">
        <v>6.6791703286976367E-2</v>
      </c>
      <c r="H80" s="17">
        <v>6.7306174633281535E-2</v>
      </c>
      <c r="I80" s="17">
        <v>6.7290049159479962E-2</v>
      </c>
      <c r="J80" s="17">
        <v>7.0442542216500675E-2</v>
      </c>
      <c r="K80" s="17">
        <v>7.0442542216500717E-2</v>
      </c>
      <c r="L80" s="17">
        <v>7.0442542216500731E-2</v>
      </c>
      <c r="M80" s="17">
        <v>7.0442542216500731E-2</v>
      </c>
      <c r="N80" s="17">
        <v>7.0442542216500731E-2</v>
      </c>
      <c r="O80" s="17">
        <v>6.8286703893259582E-2</v>
      </c>
      <c r="P80" s="1"/>
    </row>
    <row r="81" spans="1:16" x14ac:dyDescent="0.25">
      <c r="A81" s="2">
        <v>72</v>
      </c>
      <c r="B81" s="1" t="s">
        <v>31</v>
      </c>
      <c r="C81" s="1" t="s">
        <v>52</v>
      </c>
      <c r="D81" s="1">
        <v>1.398203425217308E-2</v>
      </c>
      <c r="E81" s="1">
        <v>1.399241347931124E-2</v>
      </c>
      <c r="F81" s="1">
        <v>1.374333555914385E-2</v>
      </c>
      <c r="G81" s="1">
        <v>1.35307518442723E-2</v>
      </c>
      <c r="H81" s="1">
        <v>1.372004711571689E-2</v>
      </c>
      <c r="I81" s="1">
        <v>1.39813029638482E-2</v>
      </c>
      <c r="J81" s="1">
        <v>1.320296231462538E-2</v>
      </c>
      <c r="K81" s="1">
        <v>1.3202962314625319E-2</v>
      </c>
      <c r="L81" s="1">
        <v>1.3202962314625319E-2</v>
      </c>
      <c r="M81" s="1">
        <v>1.3202962314625319E-2</v>
      </c>
      <c r="N81" s="1">
        <v>1.3202962314625319E-2</v>
      </c>
      <c r="O81" s="1">
        <v>1.354224516250839E-2</v>
      </c>
      <c r="P81" s="1"/>
    </row>
    <row r="82" spans="1:16" x14ac:dyDescent="0.25">
      <c r="A82" s="2">
        <v>73</v>
      </c>
      <c r="B82" s="1" t="s">
        <v>31</v>
      </c>
      <c r="C82" s="1" t="s">
        <v>53</v>
      </c>
      <c r="D82" s="1">
        <v>3.8744674977356452E-3</v>
      </c>
      <c r="E82" s="1">
        <v>4.2322986250729619E-3</v>
      </c>
      <c r="F82" s="1">
        <v>4.1377617849139934E-3</v>
      </c>
      <c r="G82" s="1">
        <v>4.2669460465164363E-3</v>
      </c>
      <c r="H82" s="1">
        <v>4.3763681710079702E-3</v>
      </c>
      <c r="I82" s="1">
        <v>4.4869379161962342E-3</v>
      </c>
      <c r="J82" s="1">
        <v>4.1589662925538198E-3</v>
      </c>
      <c r="K82" s="1">
        <v>4.1589662925538068E-3</v>
      </c>
      <c r="L82" s="1">
        <v>4.1589662925538068E-3</v>
      </c>
      <c r="M82" s="1">
        <v>4.1589662925538076E-3</v>
      </c>
      <c r="N82" s="1">
        <v>4.1589662925538076E-3</v>
      </c>
      <c r="O82" s="1">
        <v>4.1972374094738441E-3</v>
      </c>
      <c r="P82" s="1"/>
    </row>
    <row r="83" spans="1:16" x14ac:dyDescent="0.25">
      <c r="A83" s="2">
        <v>74</v>
      </c>
      <c r="B83" s="1" t="s">
        <v>31</v>
      </c>
      <c r="C83" s="1" t="s">
        <v>54</v>
      </c>
      <c r="D83" s="1">
        <v>3.8565984133541922E-3</v>
      </c>
      <c r="E83" s="1">
        <v>3.7852167982683699E-3</v>
      </c>
      <c r="F83" s="1">
        <v>3.570537385714645E-3</v>
      </c>
      <c r="G83" s="1">
        <v>3.3761315052576041E-3</v>
      </c>
      <c r="H83" s="1">
        <v>3.289344693005773E-3</v>
      </c>
      <c r="I83" s="1">
        <v>3.1057545356058991E-3</v>
      </c>
      <c r="J83" s="1">
        <v>1.9147407535044061E-3</v>
      </c>
      <c r="K83" s="1">
        <v>1.914740753504403E-3</v>
      </c>
      <c r="L83" s="1">
        <v>1.914740753504403E-3</v>
      </c>
      <c r="M83" s="1">
        <v>1.914740753504403E-3</v>
      </c>
      <c r="N83" s="1">
        <v>1.914740753504403E-3</v>
      </c>
      <c r="O83" s="1">
        <v>2.7779351907935E-3</v>
      </c>
      <c r="P83" s="1"/>
    </row>
    <row r="84" spans="1:16" x14ac:dyDescent="0.25">
      <c r="A84" s="2">
        <v>75</v>
      </c>
      <c r="B84" s="1" t="s">
        <v>31</v>
      </c>
      <c r="C84" s="1" t="s">
        <v>55</v>
      </c>
      <c r="D84" s="1">
        <v>1.8551156944026131E-2</v>
      </c>
      <c r="E84" s="1">
        <v>1.785215024888125E-2</v>
      </c>
      <c r="F84" s="1">
        <v>1.7861480628604182E-2</v>
      </c>
      <c r="G84" s="1">
        <v>1.795833393630852E-2</v>
      </c>
      <c r="H84" s="1">
        <v>1.8364681879693489E-2</v>
      </c>
      <c r="I84" s="1">
        <v>1.78501775290652E-2</v>
      </c>
      <c r="J84" s="1">
        <v>1.7836824844749431E-2</v>
      </c>
      <c r="K84" s="1">
        <v>1.7836824844749431E-2</v>
      </c>
      <c r="L84" s="1">
        <v>1.7836824844749431E-2</v>
      </c>
      <c r="M84" s="1">
        <v>1.7836824844749431E-2</v>
      </c>
      <c r="N84" s="1">
        <v>1.7836824844749442E-2</v>
      </c>
      <c r="O84" s="1">
        <v>1.7965645944575091E-2</v>
      </c>
      <c r="P84" s="1"/>
    </row>
    <row r="85" spans="1:16" x14ac:dyDescent="0.25">
      <c r="A85" s="2">
        <v>76</v>
      </c>
      <c r="B85" s="1" t="s">
        <v>31</v>
      </c>
      <c r="C85" s="1" t="s">
        <v>56</v>
      </c>
      <c r="D85" s="1">
        <v>5.1483169501536103E-3</v>
      </c>
      <c r="E85" s="1">
        <v>5.6771855138141253E-3</v>
      </c>
      <c r="F85" s="1">
        <v>5.46609014595316E-3</v>
      </c>
      <c r="G85" s="1">
        <v>5.4055128775757268E-3</v>
      </c>
      <c r="H85" s="1">
        <v>5.3723527708768523E-3</v>
      </c>
      <c r="I85" s="1">
        <v>5.7190048932135367E-3</v>
      </c>
      <c r="J85" s="1">
        <v>6.6490874472670131E-3</v>
      </c>
      <c r="K85" s="1">
        <v>6.6490874472670096E-3</v>
      </c>
      <c r="L85" s="1">
        <v>6.6490874472670113E-3</v>
      </c>
      <c r="M85" s="1">
        <v>6.6490874472670122E-3</v>
      </c>
      <c r="N85" s="1">
        <v>6.6490874472670131E-3</v>
      </c>
      <c r="O85" s="1">
        <v>6.0030818534474624E-3</v>
      </c>
      <c r="P85" s="1"/>
    </row>
    <row r="86" spans="1:16" x14ac:dyDescent="0.25">
      <c r="A86" s="2">
        <v>77</v>
      </c>
      <c r="B86" s="1" t="s">
        <v>31</v>
      </c>
      <c r="C86" s="1" t="s">
        <v>58</v>
      </c>
      <c r="D86" s="1">
        <v>0.21099748210838809</v>
      </c>
      <c r="E86" s="1">
        <v>0.21534894803083859</v>
      </c>
      <c r="F86" s="1">
        <v>0.2167733026809138</v>
      </c>
      <c r="G86" s="1">
        <v>0.21612373974298901</v>
      </c>
      <c r="H86" s="1">
        <v>0.2174702029285927</v>
      </c>
      <c r="I86" s="1">
        <v>0.22058625892449329</v>
      </c>
      <c r="J86" s="1">
        <v>0.2239261068281474</v>
      </c>
      <c r="K86" s="1">
        <v>0.22392610682814779</v>
      </c>
      <c r="L86" s="1">
        <v>0.22392610682814779</v>
      </c>
      <c r="M86" s="1">
        <v>0.22392610682814779</v>
      </c>
      <c r="N86" s="1">
        <v>0.22392610682814779</v>
      </c>
      <c r="O86" s="1">
        <v>0.21972095168699579</v>
      </c>
      <c r="P86" s="1"/>
    </row>
    <row r="87" spans="1:16" x14ac:dyDescent="0.25">
      <c r="A87" s="2">
        <v>78</v>
      </c>
      <c r="B87" s="1" t="s">
        <v>31</v>
      </c>
      <c r="C87" s="1" t="s">
        <v>59</v>
      </c>
      <c r="D87" s="1">
        <v>1.216943627462358E-2</v>
      </c>
      <c r="E87" s="1">
        <v>1.2264786444484079E-2</v>
      </c>
      <c r="F87" s="1">
        <v>1.2440674963090131E-2</v>
      </c>
      <c r="G87" s="1">
        <v>1.232259102660317E-2</v>
      </c>
      <c r="H87" s="1">
        <v>1.2422099783502829E-2</v>
      </c>
      <c r="I87" s="1">
        <v>1.25900189876042E-2</v>
      </c>
      <c r="J87" s="1">
        <v>8.7700032972243876E-3</v>
      </c>
      <c r="K87" s="1">
        <v>8.770003297224313E-3</v>
      </c>
      <c r="L87" s="1">
        <v>8.770003297224313E-3</v>
      </c>
      <c r="M87" s="1">
        <v>8.7700032972243148E-3</v>
      </c>
      <c r="N87" s="1">
        <v>8.7700032972243148E-3</v>
      </c>
      <c r="O87" s="1">
        <v>1.0732693087820881E-2</v>
      </c>
      <c r="P87" s="1"/>
    </row>
    <row r="88" spans="1:16" x14ac:dyDescent="0.25">
      <c r="A88" s="2">
        <v>79</v>
      </c>
      <c r="B88" s="1" t="s">
        <v>31</v>
      </c>
      <c r="C88" s="18" t="s">
        <v>23</v>
      </c>
      <c r="D88" s="18">
        <v>9.4055716919188535E-3</v>
      </c>
      <c r="E88" s="18">
        <v>9.2903464272974887E-3</v>
      </c>
      <c r="F88" s="18">
        <v>9.3450834712150641E-3</v>
      </c>
      <c r="G88" s="18">
        <v>9.2269077453018492E-3</v>
      </c>
      <c r="H88" s="18">
        <v>9.0496795991680083E-3</v>
      </c>
      <c r="I88" s="18">
        <v>8.7582340694498766E-3</v>
      </c>
      <c r="J88" s="18">
        <v>8.2740531320115492E-3</v>
      </c>
      <c r="K88" s="18">
        <v>8.2740531320115145E-3</v>
      </c>
      <c r="L88" s="18">
        <v>8.2740531320115145E-3</v>
      </c>
      <c r="M88" s="18">
        <v>8.2740531320115145E-3</v>
      </c>
      <c r="N88" s="18">
        <v>8.2740531320115145E-3</v>
      </c>
      <c r="O88" s="18">
        <v>8.7678262422189769E-3</v>
      </c>
      <c r="P88" s="1"/>
    </row>
    <row r="89" spans="1:16" x14ac:dyDescent="0.25">
      <c r="A89" s="2">
        <v>80</v>
      </c>
      <c r="B89" s="1" t="s">
        <v>31</v>
      </c>
      <c r="C89" s="19" t="s">
        <v>25</v>
      </c>
      <c r="D89" s="19">
        <v>9.4538488025337833E-3</v>
      </c>
      <c r="E89" s="19">
        <v>9.3792434455866134E-3</v>
      </c>
      <c r="F89" s="19">
        <v>9.2302734155661932E-3</v>
      </c>
      <c r="G89" s="19">
        <v>8.9322759330075496E-3</v>
      </c>
      <c r="H89" s="19">
        <v>8.5678417494595028E-3</v>
      </c>
      <c r="I89" s="19">
        <v>8.446674538563544E-3</v>
      </c>
      <c r="J89" s="19">
        <v>8.8966725407016757E-3</v>
      </c>
      <c r="K89" s="19">
        <v>8.896672540701615E-3</v>
      </c>
      <c r="L89" s="19">
        <v>8.8966725407016133E-3</v>
      </c>
      <c r="M89" s="19">
        <v>8.896672540701615E-3</v>
      </c>
      <c r="N89" s="19">
        <v>8.896672540701615E-3</v>
      </c>
      <c r="O89" s="19">
        <v>8.9539564171113931E-3</v>
      </c>
      <c r="P89" s="1"/>
    </row>
    <row r="90" spans="1:16" x14ac:dyDescent="0.25">
      <c r="A90" s="2">
        <v>81</v>
      </c>
      <c r="B90" s="1" t="s">
        <v>31</v>
      </c>
      <c r="C90" s="18" t="s">
        <v>27</v>
      </c>
      <c r="D90" s="18">
        <v>1.7237506181408891E-2</v>
      </c>
      <c r="E90" s="18">
        <v>1.708691133909462E-2</v>
      </c>
      <c r="F90" s="18">
        <v>1.7253153368560849E-2</v>
      </c>
      <c r="G90" s="18">
        <v>1.7825466409515451E-2</v>
      </c>
      <c r="H90" s="18">
        <v>1.9568265196199051E-2</v>
      </c>
      <c r="I90" s="18">
        <v>2.040284596461717E-2</v>
      </c>
      <c r="J90" s="18">
        <v>2.1178328376694321E-2</v>
      </c>
      <c r="K90" s="18">
        <v>2.1178328376694339E-2</v>
      </c>
      <c r="L90" s="18">
        <v>2.1178328376694339E-2</v>
      </c>
      <c r="M90" s="18">
        <v>2.1178328376694339E-2</v>
      </c>
      <c r="N90" s="18">
        <v>2.1178328376694339E-2</v>
      </c>
      <c r="O90" s="18">
        <v>1.9569617303897061E-2</v>
      </c>
      <c r="P90" s="1"/>
    </row>
    <row r="91" spans="1:16" x14ac:dyDescent="0.25">
      <c r="A91" s="2">
        <v>82</v>
      </c>
      <c r="B91" s="1" t="s">
        <v>31</v>
      </c>
      <c r="C91" s="1" t="s">
        <v>60</v>
      </c>
      <c r="D91" s="1">
        <v>3.7126321374281138E-2</v>
      </c>
      <c r="E91" s="1">
        <v>3.718737839678319E-2</v>
      </c>
      <c r="F91" s="1">
        <v>3.5753646965707972E-2</v>
      </c>
      <c r="G91" s="1">
        <v>3.411304962311431E-2</v>
      </c>
      <c r="H91" s="1">
        <v>3.349871727523232E-2</v>
      </c>
      <c r="I91" s="1">
        <v>3.3962229834777848E-2</v>
      </c>
      <c r="J91" s="1">
        <v>3.4879034059194763E-2</v>
      </c>
      <c r="K91" s="1">
        <v>3.4879034059194763E-2</v>
      </c>
      <c r="L91" s="1">
        <v>3.4879034059194763E-2</v>
      </c>
      <c r="M91" s="1">
        <v>3.4879034059194763E-2</v>
      </c>
      <c r="N91" s="1">
        <v>3.4879034059194763E-2</v>
      </c>
      <c r="O91" s="1">
        <v>3.509422852417006E-2</v>
      </c>
      <c r="P91" s="1"/>
    </row>
    <row r="92" spans="1:16" x14ac:dyDescent="0.25">
      <c r="A92" s="2">
        <v>83</v>
      </c>
      <c r="B92" s="1" t="s">
        <v>31</v>
      </c>
      <c r="C92" s="1" t="s">
        <v>62</v>
      </c>
      <c r="D92" s="1">
        <v>5.5926302041592039E-2</v>
      </c>
      <c r="E92" s="1">
        <v>5.5319304713340678E-2</v>
      </c>
      <c r="F92" s="1">
        <v>5.5246451191662577E-2</v>
      </c>
      <c r="G92" s="1">
        <v>5.3991279602930438E-2</v>
      </c>
      <c r="H92" s="1">
        <v>5.3969778502314193E-2</v>
      </c>
      <c r="I92" s="1">
        <v>5.3490762610128161E-2</v>
      </c>
      <c r="J92" s="1">
        <v>5.5784266312373022E-2</v>
      </c>
      <c r="K92" s="1">
        <v>5.5784266312373092E-2</v>
      </c>
      <c r="L92" s="1">
        <v>5.5784266312373099E-2</v>
      </c>
      <c r="M92" s="1">
        <v>5.5784266312373092E-2</v>
      </c>
      <c r="N92" s="1">
        <v>5.5784266312373099E-2</v>
      </c>
      <c r="O92" s="1">
        <v>5.5169564565803048E-2</v>
      </c>
      <c r="P92" s="1"/>
    </row>
    <row r="93" spans="1:16" x14ac:dyDescent="0.25">
      <c r="A93" s="2">
        <v>84</v>
      </c>
      <c r="B93" s="1" t="s">
        <v>31</v>
      </c>
      <c r="C93" s="18" t="s">
        <v>29</v>
      </c>
      <c r="D93" s="18">
        <v>4.3857231913900722E-2</v>
      </c>
      <c r="E93" s="18">
        <v>4.5402891724495763E-2</v>
      </c>
      <c r="F93" s="18">
        <v>4.6270678523985191E-2</v>
      </c>
      <c r="G93" s="18">
        <v>4.5820738347183462E-2</v>
      </c>
      <c r="H93" s="18">
        <v>4.5506276181288753E-2</v>
      </c>
      <c r="I93" s="18">
        <v>4.6025058354486302E-2</v>
      </c>
      <c r="J93" s="18">
        <v>4.7427542216662712E-2</v>
      </c>
      <c r="K93" s="18">
        <v>4.7427542216662767E-2</v>
      </c>
      <c r="L93" s="18">
        <v>4.7427542216662767E-2</v>
      </c>
      <c r="M93" s="18">
        <v>4.7427542216662781E-2</v>
      </c>
      <c r="N93" s="18">
        <v>4.7427542216662788E-2</v>
      </c>
      <c r="O93" s="18">
        <v>4.6365507829877632E-2</v>
      </c>
      <c r="P93" s="1"/>
    </row>
    <row r="94" spans="1:16" x14ac:dyDescent="0.25">
      <c r="A94" s="2">
        <v>85</v>
      </c>
      <c r="B94" s="1" t="s">
        <v>31</v>
      </c>
      <c r="C94" s="1" t="s">
        <v>63</v>
      </c>
      <c r="D94" s="1">
        <v>3.1569669632195589E-2</v>
      </c>
      <c r="E94" s="1">
        <v>3.1966610290064208E-2</v>
      </c>
      <c r="F94" s="1">
        <v>3.2528818830580807E-2</v>
      </c>
      <c r="G94" s="1">
        <v>3.2892662368095363E-2</v>
      </c>
      <c r="H94" s="1">
        <v>3.374282896753536E-2</v>
      </c>
      <c r="I94" s="1">
        <v>3.433668803741962E-2</v>
      </c>
      <c r="J94" s="1">
        <v>3.000300275026517E-2</v>
      </c>
      <c r="K94" s="1">
        <v>3.0003002750265149E-2</v>
      </c>
      <c r="L94" s="1">
        <v>3.0003002750265149E-2</v>
      </c>
      <c r="M94" s="1">
        <v>3.0003002750265149E-2</v>
      </c>
      <c r="N94" s="1">
        <v>3.000300275026516E-2</v>
      </c>
      <c r="O94" s="1">
        <v>3.1550208352474247E-2</v>
      </c>
      <c r="P94" s="1"/>
    </row>
    <row r="95" spans="1:16" x14ac:dyDescent="0.25">
      <c r="A95" s="2">
        <v>86</v>
      </c>
      <c r="B95" s="1" t="s">
        <v>31</v>
      </c>
      <c r="C95" s="1" t="s">
        <v>64</v>
      </c>
      <c r="D95" s="1">
        <v>3.6303699069764522E-2</v>
      </c>
      <c r="E95" s="1">
        <v>3.6322184176178739E-2</v>
      </c>
      <c r="F95" s="1">
        <v>3.6510298732567087E-2</v>
      </c>
      <c r="G95" s="1">
        <v>3.6558889700415792E-2</v>
      </c>
      <c r="H95" s="1">
        <v>3.6620290775232843E-2</v>
      </c>
      <c r="I95" s="1">
        <v>3.7571985689415457E-2</v>
      </c>
      <c r="J95" s="1">
        <v>4.092212703088708E-2</v>
      </c>
      <c r="K95" s="1">
        <v>4.0922127030887073E-2</v>
      </c>
      <c r="L95" s="1">
        <v>4.0922127030887073E-2</v>
      </c>
      <c r="M95" s="1">
        <v>4.0922127030887073E-2</v>
      </c>
      <c r="N95" s="1">
        <v>4.0922127030887073E-2</v>
      </c>
      <c r="O95" s="1">
        <v>3.8590725754364529E-2</v>
      </c>
      <c r="P95" s="1"/>
    </row>
    <row r="96" spans="1:16" x14ac:dyDescent="0.25">
      <c r="A96" s="2">
        <v>87</v>
      </c>
      <c r="B96" s="1" t="s">
        <v>31</v>
      </c>
      <c r="C96" s="1" t="s">
        <v>65</v>
      </c>
      <c r="D96" s="1">
        <v>2.2435989821393811E-2</v>
      </c>
      <c r="E96" s="1">
        <v>2.2324817899182829E-2</v>
      </c>
      <c r="F96" s="1">
        <v>2.259081859741862E-2</v>
      </c>
      <c r="G96" s="1">
        <v>2.2515087993565989E-2</v>
      </c>
      <c r="H96" s="1">
        <v>2.2688959758560279E-2</v>
      </c>
      <c r="I96" s="1">
        <v>2.3106211389985951E-2</v>
      </c>
      <c r="J96" s="1">
        <v>2.3875456414637539E-2</v>
      </c>
      <c r="K96" s="1">
        <v>2.3875456414637539E-2</v>
      </c>
      <c r="L96" s="1">
        <v>2.3875456414637539E-2</v>
      </c>
      <c r="M96" s="1">
        <v>2.3875456414637539E-2</v>
      </c>
      <c r="N96" s="1">
        <v>2.387545641463755E-2</v>
      </c>
      <c r="O96" s="1">
        <v>2.3185378866663199E-2</v>
      </c>
      <c r="P96" s="1"/>
    </row>
    <row r="97" spans="1:16" x14ac:dyDescent="0.25">
      <c r="A97" s="2">
        <v>88</v>
      </c>
      <c r="B97" s="1" t="s">
        <v>31</v>
      </c>
      <c r="C97" s="1" t="s">
        <v>66</v>
      </c>
      <c r="D97" s="1">
        <v>4.183942344896812E-2</v>
      </c>
      <c r="E97" s="1">
        <v>4.2060069962384067E-2</v>
      </c>
      <c r="F97" s="1">
        <v>4.3261646557729488E-2</v>
      </c>
      <c r="G97" s="1">
        <v>4.3298937786234053E-2</v>
      </c>
      <c r="H97" s="1">
        <v>4.2971314133445369E-2</v>
      </c>
      <c r="I97" s="1">
        <v>4.3618897272611833E-2</v>
      </c>
      <c r="J97" s="1">
        <v>4.7134494012923002E-2</v>
      </c>
      <c r="K97" s="1">
        <v>4.7134494012923078E-2</v>
      </c>
      <c r="L97" s="1">
        <v>4.7134494012923078E-2</v>
      </c>
      <c r="M97" s="1">
        <v>4.7134494012923092E-2</v>
      </c>
      <c r="N97" s="1">
        <v>4.7134494012923092E-2</v>
      </c>
      <c r="O97" s="1">
        <v>4.4792978111453483E-2</v>
      </c>
      <c r="P97" s="1"/>
    </row>
    <row r="98" spans="1:16" x14ac:dyDescent="0.25">
      <c r="A98" s="2">
        <v>89</v>
      </c>
      <c r="B98" s="1" t="s">
        <v>31</v>
      </c>
      <c r="C98" s="1" t="s">
        <v>67</v>
      </c>
      <c r="D98" s="1">
        <v>8.1685089608925371E-3</v>
      </c>
      <c r="E98" s="1">
        <v>8.2659406616836361E-3</v>
      </c>
      <c r="F98" s="1">
        <v>8.2282097739971131E-3</v>
      </c>
      <c r="G98" s="1">
        <v>8.304548535174372E-3</v>
      </c>
      <c r="H98" s="1">
        <v>8.2494439422204184E-3</v>
      </c>
      <c r="I98" s="1">
        <v>8.3600778990847637E-3</v>
      </c>
      <c r="J98" s="1">
        <v>7.0138205477929486E-3</v>
      </c>
      <c r="K98" s="1">
        <v>7.0138205477929113E-3</v>
      </c>
      <c r="L98" s="1">
        <v>7.0138205477929122E-3</v>
      </c>
      <c r="M98" s="1">
        <v>7.0138205477929122E-3</v>
      </c>
      <c r="N98" s="1">
        <v>7.0138205477929131E-3</v>
      </c>
      <c r="O98" s="1">
        <v>7.6950756829106768E-3</v>
      </c>
      <c r="P98" s="1"/>
    </row>
    <row r="99" spans="1:16" x14ac:dyDescent="0.25">
      <c r="A99" s="2">
        <v>90</v>
      </c>
      <c r="B99" s="1" t="s">
        <v>31</v>
      </c>
      <c r="C99" s="1" t="s">
        <v>68</v>
      </c>
      <c r="D99" s="1">
        <v>1.299983534447002E-2</v>
      </c>
      <c r="E99" s="1">
        <v>1.293251477479084E-2</v>
      </c>
      <c r="F99" s="1">
        <v>1.247372205677289E-2</v>
      </c>
      <c r="G99" s="1">
        <v>1.225412527997476E-2</v>
      </c>
      <c r="H99" s="1">
        <v>1.211270314485899E-2</v>
      </c>
      <c r="I99" s="1">
        <v>1.2170611510413629E-2</v>
      </c>
      <c r="J99" s="1">
        <v>1.228535026557385E-2</v>
      </c>
      <c r="K99" s="1">
        <v>1.228535026557382E-2</v>
      </c>
      <c r="L99" s="1">
        <v>1.228535026557382E-2</v>
      </c>
      <c r="M99" s="1">
        <v>1.228535026557382E-2</v>
      </c>
      <c r="N99" s="1">
        <v>1.228535026557382E-2</v>
      </c>
      <c r="O99" s="1">
        <v>1.239729667628638E-2</v>
      </c>
      <c r="P99" s="1"/>
    </row>
    <row r="100" spans="1:16" x14ac:dyDescent="0.25">
      <c r="A100" s="2">
        <v>91</v>
      </c>
      <c r="B100" s="1" t="s">
        <v>31</v>
      </c>
      <c r="C100" s="1" t="s">
        <v>69</v>
      </c>
      <c r="D100" s="1">
        <v>9.4579447112398023E-4</v>
      </c>
      <c r="E100" s="1">
        <v>9.5947471463778459E-4</v>
      </c>
      <c r="F100" s="1">
        <v>9.5418409720474844E-4</v>
      </c>
      <c r="G100" s="1">
        <v>9.2938192837925678E-4</v>
      </c>
      <c r="H100" s="1">
        <v>9.2255624335190888E-4</v>
      </c>
      <c r="I100" s="1">
        <v>9.2240198443685494E-4</v>
      </c>
      <c r="J100" s="1">
        <v>9.2538979553827608E-4</v>
      </c>
      <c r="K100" s="1">
        <v>9.2538979553820138E-4</v>
      </c>
      <c r="L100" s="1">
        <v>9.2538979553820171E-4</v>
      </c>
      <c r="M100" s="1">
        <v>9.2538979553820149E-4</v>
      </c>
      <c r="N100" s="1">
        <v>9.2538979553820171E-4</v>
      </c>
      <c r="O100" s="1">
        <v>9.3279476516596501E-4</v>
      </c>
      <c r="P100" s="1"/>
    </row>
    <row r="101" spans="1:16" x14ac:dyDescent="0.25">
      <c r="A101" s="2">
        <v>92</v>
      </c>
      <c r="B101" s="1" t="s">
        <v>38</v>
      </c>
      <c r="C101" s="1" t="s">
        <v>18</v>
      </c>
      <c r="D101" s="1">
        <v>1.7438604219159139E-2</v>
      </c>
      <c r="E101" s="1">
        <v>1.725799444261011E-2</v>
      </c>
      <c r="F101" s="1">
        <v>1.6105143725495309E-2</v>
      </c>
      <c r="G101" s="1">
        <v>1.598633714157285E-2</v>
      </c>
      <c r="H101" s="1">
        <v>1.6432237690170701E-2</v>
      </c>
      <c r="I101" s="1">
        <v>1.588066956918889E-2</v>
      </c>
      <c r="J101" s="1">
        <v>1.6872678844766589E-2</v>
      </c>
      <c r="K101" s="1">
        <v>1.687267884476654E-2</v>
      </c>
      <c r="L101" s="1">
        <v>1.687267884476654E-2</v>
      </c>
      <c r="M101" s="1">
        <v>1.687267884476653E-2</v>
      </c>
      <c r="N101" s="1">
        <v>1.687267884476654E-2</v>
      </c>
      <c r="O101" s="1">
        <v>1.6678580092002699E-2</v>
      </c>
      <c r="P101" s="1"/>
    </row>
    <row r="102" spans="1:16" x14ac:dyDescent="0.25">
      <c r="A102" s="2">
        <v>93</v>
      </c>
      <c r="B102" s="1" t="s">
        <v>38</v>
      </c>
      <c r="C102" s="1" t="s">
        <v>20</v>
      </c>
      <c r="D102" s="1">
        <v>4.6639977045839212E-4</v>
      </c>
      <c r="E102" s="1">
        <v>4.3244913475462858E-4</v>
      </c>
      <c r="F102" s="1">
        <v>4.3193727944712031E-4</v>
      </c>
      <c r="G102" s="1">
        <v>4.5507296538567071E-4</v>
      </c>
      <c r="H102" s="1">
        <v>4.3305074588003258E-4</v>
      </c>
      <c r="I102" s="1">
        <v>4.3525701523973789E-4</v>
      </c>
      <c r="J102" s="1">
        <v>4.1070220294104308E-4</v>
      </c>
      <c r="K102" s="1">
        <v>4.107022029410009E-4</v>
      </c>
      <c r="L102" s="1">
        <v>4.107022029410008E-4</v>
      </c>
      <c r="M102" s="1">
        <v>4.107022029410008E-4</v>
      </c>
      <c r="N102" s="1">
        <v>4.107022029410009E-4</v>
      </c>
      <c r="O102" s="1">
        <v>4.2797072053369338E-4</v>
      </c>
      <c r="P102" s="1"/>
    </row>
    <row r="103" spans="1:16" x14ac:dyDescent="0.25">
      <c r="A103" s="2">
        <v>94</v>
      </c>
      <c r="B103" s="1" t="s">
        <v>38</v>
      </c>
      <c r="C103" s="1" t="s">
        <v>22</v>
      </c>
      <c r="D103" s="1">
        <v>8.6058221024703973E-5</v>
      </c>
      <c r="E103" s="1">
        <v>6.4900814922834202E-5</v>
      </c>
      <c r="F103" s="1">
        <v>5.1334532154072022E-5</v>
      </c>
      <c r="G103" s="1">
        <v>4.6881496693723383E-5</v>
      </c>
      <c r="H103" s="1">
        <v>5.910145138893887E-5</v>
      </c>
      <c r="I103" s="1">
        <v>5.1196241015079919E-5</v>
      </c>
      <c r="J103" s="1">
        <v>4.7911361777123547E-5</v>
      </c>
      <c r="K103" s="1">
        <v>4.7911361777123662E-5</v>
      </c>
      <c r="L103" s="1">
        <v>4.7911361777123662E-5</v>
      </c>
      <c r="M103" s="1">
        <v>4.7911361777123662E-5</v>
      </c>
      <c r="N103" s="1">
        <v>4.7911361777123662E-5</v>
      </c>
      <c r="O103" s="1">
        <v>5.4457233280451858E-5</v>
      </c>
      <c r="P103" s="1"/>
    </row>
    <row r="104" spans="1:16" x14ac:dyDescent="0.25">
      <c r="A104" s="2">
        <v>95</v>
      </c>
      <c r="B104" s="1" t="s">
        <v>38</v>
      </c>
      <c r="C104" s="1" t="s">
        <v>24</v>
      </c>
      <c r="D104" s="1">
        <v>9.724410743975079E-4</v>
      </c>
      <c r="E104" s="1">
        <v>8.5038145770339774E-4</v>
      </c>
      <c r="F104" s="1">
        <v>8.0981746955684024E-4</v>
      </c>
      <c r="G104" s="1">
        <v>8.0578100006892944E-4</v>
      </c>
      <c r="H104" s="1">
        <v>8.2017542349781074E-4</v>
      </c>
      <c r="I104" s="1">
        <v>8.1616351869095505E-4</v>
      </c>
      <c r="J104" s="1">
        <v>7.8197352207805629E-4</v>
      </c>
      <c r="K104" s="1">
        <v>7.8197352207800175E-4</v>
      </c>
      <c r="L104" s="1">
        <v>7.8197352207800175E-4</v>
      </c>
      <c r="M104" s="1">
        <v>7.8197352207800175E-4</v>
      </c>
      <c r="N104" s="1">
        <v>7.8197352207800175E-4</v>
      </c>
      <c r="O104" s="1">
        <v>8.1678432311868218E-4</v>
      </c>
      <c r="P104" s="1"/>
    </row>
    <row r="105" spans="1:16" x14ac:dyDescent="0.25">
      <c r="A105" s="2">
        <v>96</v>
      </c>
      <c r="B105" s="1" t="s">
        <v>38</v>
      </c>
      <c r="C105" s="1" t="s">
        <v>26</v>
      </c>
      <c r="D105" s="1">
        <v>3.2759322806987008E-5</v>
      </c>
      <c r="E105" s="1">
        <v>1.7391249012748332E-5</v>
      </c>
      <c r="F105" s="1">
        <v>2.480751117703759E-5</v>
      </c>
      <c r="G105" s="1">
        <v>3.1181175510733563E-5</v>
      </c>
      <c r="H105" s="1">
        <v>3.5520332182391117E-5</v>
      </c>
      <c r="I105" s="1">
        <v>3.0895677832165127E-5</v>
      </c>
      <c r="J105" s="1">
        <v>2.752816570399886E-5</v>
      </c>
      <c r="K105" s="1">
        <v>2.7528165703998931E-5</v>
      </c>
      <c r="L105" s="1">
        <v>2.7528165703998921E-5</v>
      </c>
      <c r="M105" s="1">
        <v>2.7528165703998921E-5</v>
      </c>
      <c r="N105" s="1">
        <v>2.7528165703998921E-5</v>
      </c>
      <c r="O105" s="1">
        <v>2.8199645185641578E-5</v>
      </c>
      <c r="P105" s="1"/>
    </row>
    <row r="106" spans="1:16" x14ac:dyDescent="0.25">
      <c r="A106" s="2">
        <v>97</v>
      </c>
      <c r="B106" s="1" t="s">
        <v>38</v>
      </c>
      <c r="C106" s="1" t="s">
        <v>28</v>
      </c>
      <c r="D106" s="1">
        <v>3.2755009954964803E-2</v>
      </c>
      <c r="E106" s="1">
        <v>3.1650012285959282E-2</v>
      </c>
      <c r="F106" s="1">
        <v>3.078644377879115E-2</v>
      </c>
      <c r="G106" s="1">
        <v>3.1034284656310761E-2</v>
      </c>
      <c r="H106" s="1">
        <v>2.9852194734040341E-2</v>
      </c>
      <c r="I106" s="1">
        <v>2.9543126524513661E-2</v>
      </c>
      <c r="J106" s="1">
        <v>3.1112369605138929E-2</v>
      </c>
      <c r="K106" s="1">
        <v>3.1112369605138971E-2</v>
      </c>
      <c r="L106" s="1">
        <v>3.1112369605138971E-2</v>
      </c>
      <c r="M106" s="1">
        <v>3.1112369605138971E-2</v>
      </c>
      <c r="N106" s="1">
        <v>3.1112369605138971E-2</v>
      </c>
      <c r="O106" s="1">
        <v>3.1016629087297711E-2</v>
      </c>
      <c r="P106" s="1"/>
    </row>
    <row r="107" spans="1:16" x14ac:dyDescent="0.25">
      <c r="A107" s="2">
        <v>98</v>
      </c>
      <c r="B107" s="1" t="s">
        <v>38</v>
      </c>
      <c r="C107" s="1" t="s">
        <v>30</v>
      </c>
      <c r="D107" s="1">
        <v>4.0046207468339493E-3</v>
      </c>
      <c r="E107" s="1">
        <v>4.2054101030068137E-3</v>
      </c>
      <c r="F107" s="1">
        <v>4.1583836894464998E-3</v>
      </c>
      <c r="G107" s="1">
        <v>4.1975906016999531E-3</v>
      </c>
      <c r="H107" s="1">
        <v>4.4385549890731948E-3</v>
      </c>
      <c r="I107" s="1">
        <v>4.6273637518805316E-3</v>
      </c>
      <c r="J107" s="1">
        <v>4.0671571053951796E-3</v>
      </c>
      <c r="K107" s="1">
        <v>4.0671571053951094E-3</v>
      </c>
      <c r="L107" s="1">
        <v>4.0671571053951094E-3</v>
      </c>
      <c r="M107" s="1">
        <v>4.0671571053951094E-3</v>
      </c>
      <c r="N107" s="1">
        <v>4.0671571053951094E-3</v>
      </c>
      <c r="O107" s="1">
        <v>4.1788826735378697E-3</v>
      </c>
      <c r="P107" s="1"/>
    </row>
    <row r="108" spans="1:16" x14ac:dyDescent="0.25">
      <c r="A108" s="2">
        <v>99</v>
      </c>
      <c r="B108" s="1" t="s">
        <v>38</v>
      </c>
      <c r="C108" s="1" t="s">
        <v>32</v>
      </c>
      <c r="D108" s="1">
        <v>2.14480272196632E-3</v>
      </c>
      <c r="E108" s="1">
        <v>2.017529511250222E-3</v>
      </c>
      <c r="F108" s="1">
        <v>2.0741945193670092E-3</v>
      </c>
      <c r="G108" s="1">
        <v>2.0200066998166291E-3</v>
      </c>
      <c r="H108" s="1">
        <v>2.032138546195052E-3</v>
      </c>
      <c r="I108" s="1">
        <v>2.0280019983518532E-3</v>
      </c>
      <c r="J108" s="1">
        <v>2.0288875796455439E-3</v>
      </c>
      <c r="K108" s="1">
        <v>2.028887579645504E-3</v>
      </c>
      <c r="L108" s="1">
        <v>2.0288875796455048E-3</v>
      </c>
      <c r="M108" s="1">
        <v>2.028887579645504E-3</v>
      </c>
      <c r="N108" s="1">
        <v>2.028887579645504E-3</v>
      </c>
      <c r="O108" s="1">
        <v>2.041919263197696E-3</v>
      </c>
      <c r="P108" s="1"/>
    </row>
    <row r="109" spans="1:16" x14ac:dyDescent="0.25">
      <c r="A109" s="2">
        <v>100</v>
      </c>
      <c r="B109" s="1" t="s">
        <v>38</v>
      </c>
      <c r="C109" s="1" t="s">
        <v>33</v>
      </c>
      <c r="D109" s="1">
        <v>5.1135895871968979E-3</v>
      </c>
      <c r="E109" s="1">
        <v>5.0427752412827908E-3</v>
      </c>
      <c r="F109" s="1">
        <v>4.9215773672388434E-3</v>
      </c>
      <c r="G109" s="1">
        <v>4.8050242108237766E-3</v>
      </c>
      <c r="H109" s="1">
        <v>4.7540287411124843E-3</v>
      </c>
      <c r="I109" s="1">
        <v>4.4892713949940422E-3</v>
      </c>
      <c r="J109" s="1">
        <v>4.3336411012307972E-3</v>
      </c>
      <c r="K109" s="1">
        <v>4.3336411012307088E-3</v>
      </c>
      <c r="L109" s="1">
        <v>4.3336411012307096E-3</v>
      </c>
      <c r="M109" s="1">
        <v>4.3336411012307096E-3</v>
      </c>
      <c r="N109" s="1">
        <v>4.3336411012307096E-3</v>
      </c>
      <c r="O109" s="1">
        <v>4.6176792771638608E-3</v>
      </c>
      <c r="P109" s="1"/>
    </row>
    <row r="110" spans="1:16" x14ac:dyDescent="0.25">
      <c r="A110" s="2">
        <v>101</v>
      </c>
      <c r="B110" s="1" t="s">
        <v>38</v>
      </c>
      <c r="C110" s="1" t="s">
        <v>34</v>
      </c>
      <c r="D110" s="1">
        <v>9.9951569118798839E-3</v>
      </c>
      <c r="E110" s="1">
        <v>7.1114841973927744E-3</v>
      </c>
      <c r="F110" s="1">
        <v>5.864065764801688E-3</v>
      </c>
      <c r="G110" s="1">
        <v>6.5061455699678312E-3</v>
      </c>
      <c r="H110" s="1">
        <v>7.1826649512589068E-3</v>
      </c>
      <c r="I110" s="1">
        <v>6.3959067594324221E-3</v>
      </c>
      <c r="J110" s="1">
        <v>3.7552658259241002E-3</v>
      </c>
      <c r="K110" s="1">
        <v>3.7552658259241089E-3</v>
      </c>
      <c r="L110" s="1">
        <v>3.755265825924108E-3</v>
      </c>
      <c r="M110" s="1">
        <v>3.755265825924108E-3</v>
      </c>
      <c r="N110" s="1">
        <v>3.755265825924108E-3</v>
      </c>
      <c r="O110" s="1">
        <v>5.6210684803958211E-3</v>
      </c>
      <c r="P110" s="1"/>
    </row>
    <row r="111" spans="1:16" x14ac:dyDescent="0.25">
      <c r="A111" s="2">
        <v>102</v>
      </c>
      <c r="B111" s="1" t="s">
        <v>38</v>
      </c>
      <c r="C111" s="1" t="s">
        <v>35</v>
      </c>
      <c r="D111" s="1">
        <v>1.337631054687927E-2</v>
      </c>
      <c r="E111" s="1">
        <v>1.300022981035078E-2</v>
      </c>
      <c r="F111" s="1">
        <v>1.2347728227535571E-2</v>
      </c>
      <c r="G111" s="1">
        <v>1.245698934996568E-2</v>
      </c>
      <c r="H111" s="1">
        <v>1.2183786893028721E-2</v>
      </c>
      <c r="I111" s="1">
        <v>1.182607286252256E-2</v>
      </c>
      <c r="J111" s="1">
        <v>1.140978197091783E-2</v>
      </c>
      <c r="K111" s="1">
        <v>1.140978197091783E-2</v>
      </c>
      <c r="L111" s="1">
        <v>1.1409781970917819E-2</v>
      </c>
      <c r="M111" s="1">
        <v>1.1409781970917819E-2</v>
      </c>
      <c r="N111" s="1">
        <v>1.1409781970917819E-2</v>
      </c>
      <c r="O111" s="1">
        <v>1.202182068589743E-2</v>
      </c>
      <c r="P111" s="1"/>
    </row>
    <row r="112" spans="1:16" x14ac:dyDescent="0.25">
      <c r="A112" s="2">
        <v>103</v>
      </c>
      <c r="B112" s="1" t="s">
        <v>38</v>
      </c>
      <c r="C112" s="1" t="s">
        <v>36</v>
      </c>
      <c r="D112" s="1">
        <v>5.1235458519715707E-3</v>
      </c>
      <c r="E112" s="1">
        <v>5.2166515749674201E-3</v>
      </c>
      <c r="F112" s="1">
        <v>5.1366414731613616E-3</v>
      </c>
      <c r="G112" s="1">
        <v>5.1223226373122658E-3</v>
      </c>
      <c r="H112" s="1">
        <v>5.0423067498332726E-3</v>
      </c>
      <c r="I112" s="1">
        <v>5.311193479814973E-3</v>
      </c>
      <c r="J112" s="1">
        <v>5.6563452572192408E-3</v>
      </c>
      <c r="K112" s="1">
        <v>5.6563452572192131E-3</v>
      </c>
      <c r="L112" s="1">
        <v>5.6563452572192122E-3</v>
      </c>
      <c r="M112" s="1">
        <v>5.6563452572192131E-3</v>
      </c>
      <c r="N112" s="1">
        <v>5.6563452572192131E-3</v>
      </c>
      <c r="O112" s="1">
        <v>5.3849443684688136E-3</v>
      </c>
      <c r="P112" s="1"/>
    </row>
    <row r="113" spans="1:16" x14ac:dyDescent="0.25">
      <c r="A113" s="2">
        <v>104</v>
      </c>
      <c r="B113" s="1" t="s">
        <v>38</v>
      </c>
      <c r="C113" s="1" t="s">
        <v>37</v>
      </c>
      <c r="D113" s="1">
        <v>5.7200041103620909E-3</v>
      </c>
      <c r="E113" s="1">
        <v>5.827297738327724E-3</v>
      </c>
      <c r="F113" s="1">
        <v>5.7377713523040054E-3</v>
      </c>
      <c r="G113" s="1">
        <v>5.8014206157068343E-3</v>
      </c>
      <c r="H113" s="1">
        <v>5.6186906423171404E-3</v>
      </c>
      <c r="I113" s="1">
        <v>5.3445316955281104E-3</v>
      </c>
      <c r="J113" s="1">
        <v>5.0704410536332803E-3</v>
      </c>
      <c r="K113" s="1">
        <v>5.0704410536332109E-3</v>
      </c>
      <c r="L113" s="1">
        <v>5.07044105363321E-3</v>
      </c>
      <c r="M113" s="1">
        <v>5.0704410536332109E-3</v>
      </c>
      <c r="N113" s="1">
        <v>5.07044105363321E-3</v>
      </c>
      <c r="O113" s="1">
        <v>5.4001746747920024E-3</v>
      </c>
      <c r="P113" s="1"/>
    </row>
    <row r="114" spans="1:16" x14ac:dyDescent="0.25">
      <c r="A114" s="2">
        <v>105</v>
      </c>
      <c r="B114" s="1" t="s">
        <v>38</v>
      </c>
      <c r="C114" s="1" t="s">
        <v>39</v>
      </c>
      <c r="D114" s="1">
        <v>4.6761562767741894E-3</v>
      </c>
      <c r="E114" s="1">
        <v>4.4291823278298876E-3</v>
      </c>
      <c r="F114" s="1">
        <v>4.4414400787105611E-3</v>
      </c>
      <c r="G114" s="1">
        <v>4.5041013881498056E-3</v>
      </c>
      <c r="H114" s="1">
        <v>4.5219573549463866E-3</v>
      </c>
      <c r="I114" s="1">
        <v>4.5312798113972541E-3</v>
      </c>
      <c r="J114" s="1">
        <v>4.4325188001178711E-3</v>
      </c>
      <c r="K114" s="1">
        <v>4.4325188001178104E-3</v>
      </c>
      <c r="L114" s="1">
        <v>4.4325188001178104E-3</v>
      </c>
      <c r="M114" s="1">
        <v>4.4325188001178104E-3</v>
      </c>
      <c r="N114" s="1">
        <v>4.4325188001178104E-3</v>
      </c>
      <c r="O114" s="1">
        <v>4.4787919307633806E-3</v>
      </c>
      <c r="P114" s="1"/>
    </row>
    <row r="115" spans="1:16" x14ac:dyDescent="0.25">
      <c r="A115" s="2">
        <v>106</v>
      </c>
      <c r="B115" s="1" t="s">
        <v>38</v>
      </c>
      <c r="C115" s="1" t="s">
        <v>40</v>
      </c>
      <c r="D115" s="1">
        <v>6.5905884667882926E-3</v>
      </c>
      <c r="E115" s="1">
        <v>6.3304327188618186E-3</v>
      </c>
      <c r="F115" s="1">
        <v>5.5334362710710476E-3</v>
      </c>
      <c r="G115" s="1">
        <v>6.4509243327747559E-3</v>
      </c>
      <c r="H115" s="1">
        <v>6.7092430789336896E-3</v>
      </c>
      <c r="I115" s="1">
        <v>6.1325817649665491E-3</v>
      </c>
      <c r="J115" s="1">
        <v>5.3067425609347376E-3</v>
      </c>
      <c r="K115" s="1">
        <v>5.3067425609347116E-3</v>
      </c>
      <c r="L115" s="1">
        <v>5.3067425609347116E-3</v>
      </c>
      <c r="M115" s="1">
        <v>5.3067425609347133E-3</v>
      </c>
      <c r="N115" s="1">
        <v>5.3067425609347116E-3</v>
      </c>
      <c r="O115" s="1">
        <v>5.8437199489154304E-3</v>
      </c>
      <c r="P115" s="1"/>
    </row>
    <row r="116" spans="1:16" x14ac:dyDescent="0.25">
      <c r="A116" s="2">
        <v>107</v>
      </c>
      <c r="B116" s="1" t="s">
        <v>38</v>
      </c>
      <c r="C116" s="1" t="s">
        <v>41</v>
      </c>
      <c r="D116" s="1">
        <v>1.0122034289100589E-2</v>
      </c>
      <c r="E116" s="1">
        <v>9.9477582788491895E-3</v>
      </c>
      <c r="F116" s="1">
        <v>9.9537586200503965E-3</v>
      </c>
      <c r="G116" s="1">
        <v>9.9911610568152922E-3</v>
      </c>
      <c r="H116" s="1">
        <v>9.8995165792324039E-3</v>
      </c>
      <c r="I116" s="1">
        <v>9.5665150379050327E-3</v>
      </c>
      <c r="J116" s="1">
        <v>8.5343824285564803E-3</v>
      </c>
      <c r="K116" s="1">
        <v>8.5343824285564196E-3</v>
      </c>
      <c r="L116" s="1">
        <v>8.5343824285564196E-3</v>
      </c>
      <c r="M116" s="1">
        <v>8.5343824285564196E-3</v>
      </c>
      <c r="N116" s="1">
        <v>8.5343824285564196E-3</v>
      </c>
      <c r="O116" s="1">
        <v>9.2866050913395521E-3</v>
      </c>
      <c r="P116" s="1"/>
    </row>
    <row r="117" spans="1:16" x14ac:dyDescent="0.25">
      <c r="A117" s="2">
        <v>108</v>
      </c>
      <c r="B117" s="1" t="s">
        <v>38</v>
      </c>
      <c r="C117" s="20" t="s">
        <v>19</v>
      </c>
      <c r="D117" s="20">
        <v>5.1563204685800548E-3</v>
      </c>
      <c r="E117" s="20">
        <v>5.6293050572595116E-3</v>
      </c>
      <c r="F117" s="20">
        <v>5.2284561318570273E-3</v>
      </c>
      <c r="G117" s="20">
        <v>5.2153090556734567E-3</v>
      </c>
      <c r="H117" s="20">
        <v>5.2130703556070327E-3</v>
      </c>
      <c r="I117" s="20">
        <v>5.3402289466781853E-3</v>
      </c>
      <c r="J117" s="20">
        <v>4.9565722736047927E-3</v>
      </c>
      <c r="K117" s="20">
        <v>4.9565722736047112E-3</v>
      </c>
      <c r="L117" s="20">
        <v>4.9565722736047112E-3</v>
      </c>
      <c r="M117" s="20">
        <v>4.9565722736047112E-3</v>
      </c>
      <c r="N117" s="20">
        <v>4.9565722736047112E-3</v>
      </c>
      <c r="O117" s="20">
        <v>5.1423228530617197E-3</v>
      </c>
      <c r="P117" s="1"/>
    </row>
    <row r="118" spans="1:16" x14ac:dyDescent="0.25">
      <c r="A118" s="2">
        <v>109</v>
      </c>
      <c r="B118" s="1" t="s">
        <v>38</v>
      </c>
      <c r="C118" s="1" t="s">
        <v>42</v>
      </c>
      <c r="D118" s="1">
        <v>4.1427696557580929E-3</v>
      </c>
      <c r="E118" s="1">
        <v>3.9921594030542362E-3</v>
      </c>
      <c r="F118" s="1">
        <v>3.9994902369905423E-3</v>
      </c>
      <c r="G118" s="1">
        <v>4.0177459548586727E-3</v>
      </c>
      <c r="H118" s="1">
        <v>3.8695411743240879E-3</v>
      </c>
      <c r="I118" s="1">
        <v>3.8275377382212452E-3</v>
      </c>
      <c r="J118" s="1">
        <v>3.6158721427049421E-3</v>
      </c>
      <c r="K118" s="1">
        <v>3.6158721427049078E-3</v>
      </c>
      <c r="L118" s="1">
        <v>3.6158721427049078E-3</v>
      </c>
      <c r="M118" s="1">
        <v>3.6158721427049078E-3</v>
      </c>
      <c r="N118" s="1">
        <v>3.6158721427049069E-3</v>
      </c>
      <c r="O118" s="1">
        <v>3.8116913524301331E-3</v>
      </c>
      <c r="P118" s="1"/>
    </row>
    <row r="119" spans="1:16" x14ac:dyDescent="0.25">
      <c r="A119" s="2">
        <v>110</v>
      </c>
      <c r="B119" s="1" t="s">
        <v>38</v>
      </c>
      <c r="C119" s="1" t="s">
        <v>43</v>
      </c>
      <c r="D119" s="1">
        <v>7.4478366283089459E-3</v>
      </c>
      <c r="E119" s="1">
        <v>7.3578722772209924E-3</v>
      </c>
      <c r="F119" s="1">
        <v>7.2452082769678917E-3</v>
      </c>
      <c r="G119" s="1">
        <v>7.1731897533896527E-3</v>
      </c>
      <c r="H119" s="1">
        <v>7.0884343607732856E-3</v>
      </c>
      <c r="I119" s="1">
        <v>7.0139173705610607E-3</v>
      </c>
      <c r="J119" s="1">
        <v>6.6511487274842473E-3</v>
      </c>
      <c r="K119" s="1">
        <v>6.6511487274842143E-3</v>
      </c>
      <c r="L119" s="1">
        <v>6.6511487274842143E-3</v>
      </c>
      <c r="M119" s="1">
        <v>6.6511487274842126E-3</v>
      </c>
      <c r="N119" s="1">
        <v>6.6511487274842161E-3</v>
      </c>
      <c r="O119" s="1">
        <v>6.9620183913311762E-3</v>
      </c>
      <c r="P119" s="1"/>
    </row>
    <row r="120" spans="1:16" x14ac:dyDescent="0.25">
      <c r="A120" s="2">
        <v>111</v>
      </c>
      <c r="B120" s="1" t="s">
        <v>38</v>
      </c>
      <c r="C120" s="1" t="s">
        <v>45</v>
      </c>
      <c r="D120" s="1">
        <v>1.074490494267677E-2</v>
      </c>
      <c r="E120" s="1">
        <v>1.131391139386414E-2</v>
      </c>
      <c r="F120" s="1">
        <v>1.19061545285843E-2</v>
      </c>
      <c r="G120" s="1">
        <v>1.278629092522955E-2</v>
      </c>
      <c r="H120" s="1">
        <v>1.2821916702160921E-2</v>
      </c>
      <c r="I120" s="1">
        <v>1.237608063092533E-2</v>
      </c>
      <c r="J120" s="1">
        <v>9.7743351488901488E-3</v>
      </c>
      <c r="K120" s="1">
        <v>9.7743351488901228E-3</v>
      </c>
      <c r="L120" s="1">
        <v>9.7743351488901228E-3</v>
      </c>
      <c r="M120" s="1">
        <v>9.774335148890121E-3</v>
      </c>
      <c r="N120" s="1">
        <v>9.774335148890121E-3</v>
      </c>
      <c r="O120" s="1">
        <v>1.0983721351626509E-2</v>
      </c>
      <c r="P120" s="1"/>
    </row>
    <row r="121" spans="1:16" x14ac:dyDescent="0.25">
      <c r="A121" s="2">
        <v>112</v>
      </c>
      <c r="B121" s="1" t="s">
        <v>38</v>
      </c>
      <c r="C121" s="1" t="s">
        <v>46</v>
      </c>
      <c r="D121" s="1">
        <v>1.241035404431657E-2</v>
      </c>
      <c r="E121" s="1">
        <v>1.385641437713224E-2</v>
      </c>
      <c r="F121" s="1">
        <v>1.40728443459428E-2</v>
      </c>
      <c r="G121" s="1">
        <v>1.429595277627007E-2</v>
      </c>
      <c r="H121" s="1">
        <v>1.3886180963417811E-2</v>
      </c>
      <c r="I121" s="1">
        <v>1.4908135098873039E-2</v>
      </c>
      <c r="J121" s="1">
        <v>1.137617724225674E-2</v>
      </c>
      <c r="K121" s="1">
        <v>1.137617724225673E-2</v>
      </c>
      <c r="L121" s="1">
        <v>1.137617724225673E-2</v>
      </c>
      <c r="M121" s="1">
        <v>1.1376177242256719E-2</v>
      </c>
      <c r="N121" s="1">
        <v>1.137617724225673E-2</v>
      </c>
      <c r="O121" s="1">
        <v>1.275552434702147E-2</v>
      </c>
      <c r="P121" s="1"/>
    </row>
    <row r="122" spans="1:16" x14ac:dyDescent="0.25">
      <c r="A122" s="2">
        <v>113</v>
      </c>
      <c r="B122" s="1" t="s">
        <v>38</v>
      </c>
      <c r="C122" s="1" t="s">
        <v>47</v>
      </c>
      <c r="D122" s="1">
        <v>1.3934029606077401E-2</v>
      </c>
      <c r="E122" s="1">
        <v>1.3996068637655609E-2</v>
      </c>
      <c r="F122" s="1">
        <v>1.390298901851187E-2</v>
      </c>
      <c r="G122" s="1">
        <v>1.3766176669771779E-2</v>
      </c>
      <c r="H122" s="1">
        <v>1.383479383967906E-2</v>
      </c>
      <c r="I122" s="1">
        <v>1.4266507896312491E-2</v>
      </c>
      <c r="J122" s="1">
        <v>1.405383808069822E-2</v>
      </c>
      <c r="K122" s="1">
        <v>1.405383808069823E-2</v>
      </c>
      <c r="L122" s="1">
        <v>1.405383808069823E-2</v>
      </c>
      <c r="M122" s="1">
        <v>1.405383808069823E-2</v>
      </c>
      <c r="N122" s="1">
        <v>1.405383808069823E-2</v>
      </c>
      <c r="O122" s="1">
        <v>1.399725055195449E-2</v>
      </c>
      <c r="P122" s="1"/>
    </row>
    <row r="123" spans="1:16" x14ac:dyDescent="0.25">
      <c r="A123" s="2">
        <v>114</v>
      </c>
      <c r="B123" s="1" t="s">
        <v>38</v>
      </c>
      <c r="C123" s="1" t="s">
        <v>48</v>
      </c>
      <c r="D123" s="1">
        <v>2.1216157895164262E-2</v>
      </c>
      <c r="E123" s="1">
        <v>2.0897357354516959E-2</v>
      </c>
      <c r="F123" s="1">
        <v>2.0816099053794949E-2</v>
      </c>
      <c r="G123" s="1">
        <v>2.1501708034565081E-2</v>
      </c>
      <c r="H123" s="1">
        <v>2.3029865557889849E-2</v>
      </c>
      <c r="I123" s="1">
        <v>2.269096662951367E-2</v>
      </c>
      <c r="J123" s="1">
        <v>2.2573696856033072E-2</v>
      </c>
      <c r="K123" s="1">
        <v>2.2573696856033051E-2</v>
      </c>
      <c r="L123" s="1">
        <v>2.2573696856033051E-2</v>
      </c>
      <c r="M123" s="1">
        <v>2.2573696856033051E-2</v>
      </c>
      <c r="N123" s="1">
        <v>2.2573696856033051E-2</v>
      </c>
      <c r="O123" s="1">
        <v>2.2092785345964549E-2</v>
      </c>
      <c r="P123" s="1"/>
    </row>
    <row r="124" spans="1:16" x14ac:dyDescent="0.25">
      <c r="A124" s="2">
        <v>115</v>
      </c>
      <c r="B124" s="1" t="s">
        <v>38</v>
      </c>
      <c r="C124" s="1" t="s">
        <v>49</v>
      </c>
      <c r="D124" s="1">
        <v>7.3341730955818083E-3</v>
      </c>
      <c r="E124" s="1">
        <v>7.2959001341693294E-3</v>
      </c>
      <c r="F124" s="1">
        <v>7.0674181282723864E-3</v>
      </c>
      <c r="G124" s="1">
        <v>7.2244099409909338E-3</v>
      </c>
      <c r="H124" s="1">
        <v>7.2739694174634231E-3</v>
      </c>
      <c r="I124" s="1">
        <v>7.1677972570623107E-3</v>
      </c>
      <c r="J124" s="1">
        <v>7.5770399672907291E-3</v>
      </c>
      <c r="K124" s="1">
        <v>7.5770399672907161E-3</v>
      </c>
      <c r="L124" s="1">
        <v>7.577039967290717E-3</v>
      </c>
      <c r="M124" s="1">
        <v>7.5770399672907152E-3</v>
      </c>
      <c r="N124" s="1">
        <v>7.577039967290717E-3</v>
      </c>
      <c r="O124" s="1">
        <v>7.3862607099994346E-3</v>
      </c>
      <c r="P124" s="1"/>
    </row>
    <row r="125" spans="1:16" x14ac:dyDescent="0.25">
      <c r="A125" s="2">
        <v>116</v>
      </c>
      <c r="B125" s="1" t="s">
        <v>38</v>
      </c>
      <c r="C125" s="1" t="s">
        <v>50</v>
      </c>
      <c r="D125" s="1">
        <v>5.6338969491725947E-2</v>
      </c>
      <c r="E125" s="1">
        <v>5.432492884050482E-2</v>
      </c>
      <c r="F125" s="1">
        <v>5.3980875647827553E-2</v>
      </c>
      <c r="G125" s="1">
        <v>5.4231239091125621E-2</v>
      </c>
      <c r="H125" s="1">
        <v>5.497336288040789E-2</v>
      </c>
      <c r="I125" s="1">
        <v>5.6016856423013267E-2</v>
      </c>
      <c r="J125" s="1">
        <v>5.3099060463203701E-2</v>
      </c>
      <c r="K125" s="1">
        <v>5.3099060463203819E-2</v>
      </c>
      <c r="L125" s="1">
        <v>5.3099060463203819E-2</v>
      </c>
      <c r="M125" s="1">
        <v>5.3099060463203819E-2</v>
      </c>
      <c r="N125" s="1">
        <v>5.3099060463203812E-2</v>
      </c>
      <c r="O125" s="1">
        <v>5.412377588096582E-2</v>
      </c>
      <c r="P125" s="1"/>
    </row>
    <row r="126" spans="1:16" x14ac:dyDescent="0.25">
      <c r="A126" s="2">
        <v>117</v>
      </c>
      <c r="B126" s="1" t="s">
        <v>38</v>
      </c>
      <c r="C126" s="17" t="s">
        <v>21</v>
      </c>
      <c r="D126" s="17">
        <v>8.0189408225774181E-2</v>
      </c>
      <c r="E126" s="17">
        <v>8.1474910248861915E-2</v>
      </c>
      <c r="F126" s="17">
        <v>8.2175086756881829E-2</v>
      </c>
      <c r="G126" s="17">
        <v>8.214585304631053E-2</v>
      </c>
      <c r="H126" s="17">
        <v>8.1655313200137816E-2</v>
      </c>
      <c r="I126" s="17">
        <v>8.1792279299515713E-2</v>
      </c>
      <c r="J126" s="17">
        <v>8.1212813187557242E-2</v>
      </c>
      <c r="K126" s="17">
        <v>8.1212813187557381E-2</v>
      </c>
      <c r="L126" s="17">
        <v>8.1212813187557381E-2</v>
      </c>
      <c r="M126" s="17">
        <v>8.1212813187557367E-2</v>
      </c>
      <c r="N126" s="17">
        <v>8.1212813187557381E-2</v>
      </c>
      <c r="O126" s="17">
        <v>8.1408810610478971E-2</v>
      </c>
      <c r="P126" s="1"/>
    </row>
    <row r="127" spans="1:16" x14ac:dyDescent="0.25">
      <c r="A127" s="2">
        <v>118</v>
      </c>
      <c r="B127" s="1" t="s">
        <v>38</v>
      </c>
      <c r="C127" s="1" t="s">
        <v>52</v>
      </c>
      <c r="D127" s="1">
        <v>1.700205794922326E-2</v>
      </c>
      <c r="E127" s="1">
        <v>1.700555015860385E-2</v>
      </c>
      <c r="F127" s="1">
        <v>1.732610315285555E-2</v>
      </c>
      <c r="G127" s="1">
        <v>1.737586621246482E-2</v>
      </c>
      <c r="H127" s="1">
        <v>1.7473765809286172E-2</v>
      </c>
      <c r="I127" s="1">
        <v>1.7783956553883151E-2</v>
      </c>
      <c r="J127" s="1">
        <v>1.6890624738115159E-2</v>
      </c>
      <c r="K127" s="1">
        <v>1.6890624738115138E-2</v>
      </c>
      <c r="L127" s="1">
        <v>1.6890624738115131E-2</v>
      </c>
      <c r="M127" s="1">
        <v>1.6890624738115131E-2</v>
      </c>
      <c r="N127" s="1">
        <v>1.6890624738115138E-2</v>
      </c>
      <c r="O127" s="1">
        <v>1.712912941153568E-2</v>
      </c>
      <c r="P127" s="1"/>
    </row>
    <row r="128" spans="1:16" x14ac:dyDescent="0.25">
      <c r="A128" s="2">
        <v>119</v>
      </c>
      <c r="B128" s="1" t="s">
        <v>38</v>
      </c>
      <c r="C128" s="1" t="s">
        <v>53</v>
      </c>
      <c r="D128" s="1">
        <v>3.0748646724151072E-3</v>
      </c>
      <c r="E128" s="1">
        <v>3.098028649497563E-3</v>
      </c>
      <c r="F128" s="1">
        <v>2.6988243657762741E-3</v>
      </c>
      <c r="G128" s="1">
        <v>2.9847492313468831E-3</v>
      </c>
      <c r="H128" s="1">
        <v>3.0255655634917329E-3</v>
      </c>
      <c r="I128" s="1">
        <v>3.0477211242888641E-3</v>
      </c>
      <c r="J128" s="1">
        <v>3.257321540527569E-3</v>
      </c>
      <c r="K128" s="1">
        <v>3.257321540527507E-3</v>
      </c>
      <c r="L128" s="1">
        <v>3.257321540527507E-3</v>
      </c>
      <c r="M128" s="1">
        <v>3.257321540527507E-3</v>
      </c>
      <c r="N128" s="1">
        <v>3.257321540527507E-3</v>
      </c>
      <c r="O128" s="1">
        <v>3.110578300859456E-3</v>
      </c>
      <c r="P128" s="1"/>
    </row>
    <row r="129" spans="1:16" x14ac:dyDescent="0.25">
      <c r="A129" s="2">
        <v>120</v>
      </c>
      <c r="B129" s="1" t="s">
        <v>38</v>
      </c>
      <c r="C129" s="1" t="s">
        <v>54</v>
      </c>
      <c r="D129" s="1">
        <v>3.9269894104341993E-3</v>
      </c>
      <c r="E129" s="1">
        <v>4.1069922655583707E-3</v>
      </c>
      <c r="F129" s="1">
        <v>3.8419043284450001E-3</v>
      </c>
      <c r="G129" s="1">
        <v>3.7585387167472471E-3</v>
      </c>
      <c r="H129" s="1">
        <v>3.7845896838314889E-3</v>
      </c>
      <c r="I129" s="1">
        <v>3.7536307476373899E-3</v>
      </c>
      <c r="J129" s="1">
        <v>1.8508977053362441E-3</v>
      </c>
      <c r="K129" s="1">
        <v>1.8508977053362039E-3</v>
      </c>
      <c r="L129" s="1">
        <v>1.8508977053362039E-3</v>
      </c>
      <c r="M129" s="1">
        <v>1.8508977053362039E-3</v>
      </c>
      <c r="N129" s="1">
        <v>1.8508977053362039E-3</v>
      </c>
      <c r="O129" s="1">
        <v>2.9479212435758869E-3</v>
      </c>
      <c r="P129" s="1"/>
    </row>
    <row r="130" spans="1:16" x14ac:dyDescent="0.25">
      <c r="A130" s="2">
        <v>121</v>
      </c>
      <c r="B130" s="1" t="s">
        <v>38</v>
      </c>
      <c r="C130" s="1" t="s">
        <v>55</v>
      </c>
      <c r="D130" s="1">
        <v>1.233787671902137E-2</v>
      </c>
      <c r="E130" s="1">
        <v>1.2308810153654761E-2</v>
      </c>
      <c r="F130" s="1">
        <v>1.242419267895418E-2</v>
      </c>
      <c r="G130" s="1">
        <v>1.2785429939874349E-2</v>
      </c>
      <c r="H130" s="1">
        <v>1.317882562583852E-2</v>
      </c>
      <c r="I130" s="1">
        <v>1.343227606760136E-2</v>
      </c>
      <c r="J130" s="1">
        <v>1.265991794236093E-2</v>
      </c>
      <c r="K130" s="1">
        <v>1.265991794236093E-2</v>
      </c>
      <c r="L130" s="1">
        <v>1.265991794236093E-2</v>
      </c>
      <c r="M130" s="1">
        <v>1.265991794236093E-2</v>
      </c>
      <c r="N130" s="1">
        <v>1.265991794236093E-2</v>
      </c>
      <c r="O130" s="1">
        <v>1.270609099061356E-2</v>
      </c>
      <c r="P130" s="1"/>
    </row>
    <row r="131" spans="1:16" x14ac:dyDescent="0.25">
      <c r="A131" s="2">
        <v>122</v>
      </c>
      <c r="B131" s="1" t="s">
        <v>38</v>
      </c>
      <c r="C131" s="1" t="s">
        <v>56</v>
      </c>
      <c r="D131" s="1">
        <v>2.5095598876743691E-3</v>
      </c>
      <c r="E131" s="1">
        <v>2.5042313885071982E-3</v>
      </c>
      <c r="F131" s="1">
        <v>2.4922503394912382E-3</v>
      </c>
      <c r="G131" s="1">
        <v>2.413358832680782E-3</v>
      </c>
      <c r="H131" s="1">
        <v>2.283613109412325E-3</v>
      </c>
      <c r="I131" s="1">
        <v>2.2211242484242201E-3</v>
      </c>
      <c r="J131" s="1">
        <v>2.3571054486002572E-3</v>
      </c>
      <c r="K131" s="1">
        <v>2.3571054486002051E-3</v>
      </c>
      <c r="L131" s="1">
        <v>2.3571054486002051E-3</v>
      </c>
      <c r="M131" s="1">
        <v>2.3571054486002051E-3</v>
      </c>
      <c r="N131" s="1">
        <v>2.3571054486002051E-3</v>
      </c>
      <c r="O131" s="1">
        <v>2.382696822653746E-3</v>
      </c>
      <c r="P131" s="1"/>
    </row>
    <row r="132" spans="1:16" x14ac:dyDescent="0.25">
      <c r="A132" s="2">
        <v>123</v>
      </c>
      <c r="B132" s="1" t="s">
        <v>38</v>
      </c>
      <c r="C132" s="1" t="s">
        <v>58</v>
      </c>
      <c r="D132" s="1">
        <v>0.2252899158010464</v>
      </c>
      <c r="E132" s="1">
        <v>0.22529743013020509</v>
      </c>
      <c r="F132" s="1">
        <v>0.22702632363520839</v>
      </c>
      <c r="G132" s="1">
        <v>0.22526596301878821</v>
      </c>
      <c r="H132" s="1">
        <v>0.2239739396554935</v>
      </c>
      <c r="I132" s="1">
        <v>0.22149837728944449</v>
      </c>
      <c r="J132" s="1">
        <v>0.2243394091617609</v>
      </c>
      <c r="K132" s="1">
        <v>0.22433940916176129</v>
      </c>
      <c r="L132" s="1">
        <v>0.22433940916176129</v>
      </c>
      <c r="M132" s="1">
        <v>0.22433940916176129</v>
      </c>
      <c r="N132" s="1">
        <v>0.22433940916176129</v>
      </c>
      <c r="O132" s="1">
        <v>0.22454990866718111</v>
      </c>
      <c r="P132" s="1"/>
    </row>
    <row r="133" spans="1:16" x14ac:dyDescent="0.25">
      <c r="A133" s="2">
        <v>124</v>
      </c>
      <c r="B133" s="1" t="s">
        <v>38</v>
      </c>
      <c r="C133" s="1" t="s">
        <v>59</v>
      </c>
      <c r="D133" s="1">
        <v>2.0351645177932452E-2</v>
      </c>
      <c r="E133" s="1">
        <v>2.0327495658695911E-2</v>
      </c>
      <c r="F133" s="1">
        <v>2.069066439619727E-2</v>
      </c>
      <c r="G133" s="1">
        <v>2.0587493525938791E-2</v>
      </c>
      <c r="H133" s="1">
        <v>2.1183715852364352E-2</v>
      </c>
      <c r="I133" s="1">
        <v>2.1842613373186059E-2</v>
      </c>
      <c r="J133" s="1">
        <v>1.52635582309349E-2</v>
      </c>
      <c r="K133" s="1">
        <v>1.5263558230934929E-2</v>
      </c>
      <c r="L133" s="1">
        <v>1.5263558230934929E-2</v>
      </c>
      <c r="M133" s="1">
        <v>1.5263558230934929E-2</v>
      </c>
      <c r="N133" s="1">
        <v>1.5263558230934929E-2</v>
      </c>
      <c r="O133" s="1">
        <v>1.8300129012635401E-2</v>
      </c>
      <c r="P133" s="1"/>
    </row>
    <row r="134" spans="1:16" x14ac:dyDescent="0.25">
      <c r="A134" s="2">
        <v>125</v>
      </c>
      <c r="B134" s="1" t="s">
        <v>38</v>
      </c>
      <c r="C134" s="18" t="s">
        <v>23</v>
      </c>
      <c r="D134" s="18">
        <v>1.05218907292447E-2</v>
      </c>
      <c r="E134" s="18">
        <v>1.03351564858078E-2</v>
      </c>
      <c r="F134" s="18">
        <v>1.0544356501668061E-2</v>
      </c>
      <c r="G134" s="18">
        <v>1.048504589144795E-2</v>
      </c>
      <c r="H134" s="18">
        <v>1.048386516294131E-2</v>
      </c>
      <c r="I134" s="18">
        <v>1.0374396573847261E-2</v>
      </c>
      <c r="J134" s="18">
        <v>1.048091922504992E-2</v>
      </c>
      <c r="K134" s="18">
        <v>1.048091922504992E-2</v>
      </c>
      <c r="L134" s="18">
        <v>1.048091922504992E-2</v>
      </c>
      <c r="M134" s="18">
        <v>1.048091922504992E-2</v>
      </c>
      <c r="N134" s="18">
        <v>1.048091922504992E-2</v>
      </c>
      <c r="O134" s="18">
        <v>1.046811886092788E-2</v>
      </c>
      <c r="P134" s="1"/>
    </row>
    <row r="135" spans="1:16" x14ac:dyDescent="0.25">
      <c r="A135" s="2">
        <v>126</v>
      </c>
      <c r="B135" s="1" t="s">
        <v>38</v>
      </c>
      <c r="C135" s="19" t="s">
        <v>25</v>
      </c>
      <c r="D135" s="19">
        <v>1.1000556128503839E-2</v>
      </c>
      <c r="E135" s="19">
        <v>1.0865065312275241E-2</v>
      </c>
      <c r="F135" s="19">
        <v>1.0845234893546669E-2</v>
      </c>
      <c r="G135" s="19">
        <v>1.054163457596986E-2</v>
      </c>
      <c r="H135" s="19">
        <v>1.002685775249245E-2</v>
      </c>
      <c r="I135" s="19">
        <v>1.0057319570252439E-2</v>
      </c>
      <c r="J135" s="19">
        <v>1.1342405575052859E-2</v>
      </c>
      <c r="K135" s="19">
        <v>1.134240557505283E-2</v>
      </c>
      <c r="L135" s="19">
        <v>1.134240557505283E-2</v>
      </c>
      <c r="M135" s="19">
        <v>1.1342405575052819E-2</v>
      </c>
      <c r="N135" s="19">
        <v>1.134240557505283E-2</v>
      </c>
      <c r="O135" s="19">
        <v>1.09135178280277E-2</v>
      </c>
      <c r="P135" s="1"/>
    </row>
    <row r="136" spans="1:16" x14ac:dyDescent="0.25">
      <c r="A136" s="2">
        <v>127</v>
      </c>
      <c r="B136" s="1" t="s">
        <v>38</v>
      </c>
      <c r="C136" s="18" t="s">
        <v>27</v>
      </c>
      <c r="D136" s="18">
        <v>1.527177842303686E-2</v>
      </c>
      <c r="E136" s="18">
        <v>1.631492594365062E-2</v>
      </c>
      <c r="F136" s="18">
        <v>1.7199414686028709E-2</v>
      </c>
      <c r="G136" s="18">
        <v>1.7663891136876629E-2</v>
      </c>
      <c r="H136" s="18">
        <v>1.8604830201858762E-2</v>
      </c>
      <c r="I136" s="18">
        <v>1.9633459177953359E-2</v>
      </c>
      <c r="J136" s="18">
        <v>2.1637522201991499E-2</v>
      </c>
      <c r="K136" s="18">
        <v>2.163752220199144E-2</v>
      </c>
      <c r="L136" s="18">
        <v>2.1637522201991451E-2</v>
      </c>
      <c r="M136" s="18">
        <v>2.1637522201991451E-2</v>
      </c>
      <c r="N136" s="18">
        <v>2.1637522201991451E-2</v>
      </c>
      <c r="O136" s="18">
        <v>1.9352355507214751E-2</v>
      </c>
      <c r="P136" s="1"/>
    </row>
    <row r="137" spans="1:16" x14ac:dyDescent="0.25">
      <c r="A137" s="2">
        <v>128</v>
      </c>
      <c r="B137" s="1" t="s">
        <v>38</v>
      </c>
      <c r="C137" s="1" t="s">
        <v>60</v>
      </c>
      <c r="D137" s="1">
        <v>4.3676313604110187E-2</v>
      </c>
      <c r="E137" s="1">
        <v>4.4444023824492578E-2</v>
      </c>
      <c r="F137" s="1">
        <v>4.3222422264499467E-2</v>
      </c>
      <c r="G137" s="1">
        <v>4.2519457889180948E-2</v>
      </c>
      <c r="H137" s="1">
        <v>4.2500687717444682E-2</v>
      </c>
      <c r="I137" s="1">
        <v>4.2214721887541509E-2</v>
      </c>
      <c r="J137" s="1">
        <v>4.5707038482873198E-2</v>
      </c>
      <c r="K137" s="1">
        <v>4.5707038482873302E-2</v>
      </c>
      <c r="L137" s="1">
        <v>4.5707038482873302E-2</v>
      </c>
      <c r="M137" s="1">
        <v>4.5707038482873302E-2</v>
      </c>
      <c r="N137" s="1">
        <v>4.5707038482873302E-2</v>
      </c>
      <c r="O137" s="1">
        <v>4.42829836001487E-2</v>
      </c>
      <c r="P137" s="1"/>
    </row>
    <row r="138" spans="1:16" x14ac:dyDescent="0.25">
      <c r="A138" s="2">
        <v>129</v>
      </c>
      <c r="B138" s="1" t="s">
        <v>38</v>
      </c>
      <c r="C138" s="1" t="s">
        <v>62</v>
      </c>
      <c r="D138" s="1">
        <v>6.1249151519010177E-2</v>
      </c>
      <c r="E138" s="1">
        <v>6.1878552099337077E-2</v>
      </c>
      <c r="F138" s="1">
        <v>6.2743569234853067E-2</v>
      </c>
      <c r="G138" s="1">
        <v>6.2093149600409098E-2</v>
      </c>
      <c r="H138" s="1">
        <v>6.1409537537793157E-2</v>
      </c>
      <c r="I138" s="1">
        <v>6.1724436596690649E-2</v>
      </c>
      <c r="J138" s="1">
        <v>6.5090005583092622E-2</v>
      </c>
      <c r="K138" s="1">
        <v>6.5090005583092733E-2</v>
      </c>
      <c r="L138" s="1">
        <v>6.5090005583092733E-2</v>
      </c>
      <c r="M138" s="1">
        <v>6.5090005583092733E-2</v>
      </c>
      <c r="N138" s="1">
        <v>6.5090005583092733E-2</v>
      </c>
      <c r="O138" s="1">
        <v>6.3322584045777897E-2</v>
      </c>
      <c r="P138" s="1"/>
    </row>
    <row r="139" spans="1:16" x14ac:dyDescent="0.25">
      <c r="A139" s="2">
        <v>130</v>
      </c>
      <c r="B139" s="1" t="s">
        <v>38</v>
      </c>
      <c r="C139" s="18" t="s">
        <v>29</v>
      </c>
      <c r="D139" s="18">
        <v>6.3596551229409826E-2</v>
      </c>
      <c r="E139" s="18">
        <v>6.4974555988034824E-2</v>
      </c>
      <c r="F139" s="18">
        <v>6.5967202320836707E-2</v>
      </c>
      <c r="G139" s="18">
        <v>6.6511338155762947E-2</v>
      </c>
      <c r="H139" s="18">
        <v>6.6503606956727468E-2</v>
      </c>
      <c r="I139" s="18">
        <v>6.8180533312779346E-2</v>
      </c>
      <c r="J139" s="18">
        <v>7.0787584660377892E-2</v>
      </c>
      <c r="K139" s="18">
        <v>7.0787584660377947E-2</v>
      </c>
      <c r="L139" s="18">
        <v>7.0787584660377947E-2</v>
      </c>
      <c r="M139" s="18">
        <v>7.0787584660377947E-2</v>
      </c>
      <c r="N139" s="18">
        <v>7.0787584660377961E-2</v>
      </c>
      <c r="O139" s="18">
        <v>6.8151973751403708E-2</v>
      </c>
      <c r="P139" s="1"/>
    </row>
    <row r="140" spans="1:16" x14ac:dyDescent="0.25">
      <c r="A140" s="2">
        <v>131</v>
      </c>
      <c r="B140" s="1" t="s">
        <v>38</v>
      </c>
      <c r="C140" s="1" t="s">
        <v>63</v>
      </c>
      <c r="D140" s="1">
        <v>3.6016734294072608E-2</v>
      </c>
      <c r="E140" s="1">
        <v>3.656605919503899E-2</v>
      </c>
      <c r="F140" s="1">
        <v>3.741814528836851E-2</v>
      </c>
      <c r="G140" s="1">
        <v>3.7478928860612333E-2</v>
      </c>
      <c r="H140" s="1">
        <v>3.8865612030971233E-2</v>
      </c>
      <c r="I140" s="1">
        <v>3.9694815406008437E-2</v>
      </c>
      <c r="J140" s="1">
        <v>3.904862792877814E-2</v>
      </c>
      <c r="K140" s="1">
        <v>3.9048627928778182E-2</v>
      </c>
      <c r="L140" s="1">
        <v>3.9048627928778189E-2</v>
      </c>
      <c r="M140" s="1">
        <v>3.9048627928778182E-2</v>
      </c>
      <c r="N140" s="1">
        <v>3.9048627928778189E-2</v>
      </c>
      <c r="O140" s="1">
        <v>3.8298494065360261E-2</v>
      </c>
      <c r="P140" s="1"/>
    </row>
    <row r="141" spans="1:16" x14ac:dyDescent="0.25">
      <c r="A141" s="2">
        <v>132</v>
      </c>
      <c r="B141" s="1" t="s">
        <v>38</v>
      </c>
      <c r="C141" s="1" t="s">
        <v>64</v>
      </c>
      <c r="D141" s="1">
        <v>4.3604922138721303E-2</v>
      </c>
      <c r="E141" s="1">
        <v>4.3020291574232733E-2</v>
      </c>
      <c r="F141" s="1">
        <v>4.2673773257377569E-2</v>
      </c>
      <c r="G141" s="1">
        <v>4.201439712699654E-2</v>
      </c>
      <c r="H141" s="1">
        <v>4.141820950611716E-2</v>
      </c>
      <c r="I141" s="1">
        <v>4.0961748481845431E-2</v>
      </c>
      <c r="J141" s="1">
        <v>4.4597514846011543E-2</v>
      </c>
      <c r="K141" s="1">
        <v>4.4597514846011599E-2</v>
      </c>
      <c r="L141" s="1">
        <v>4.4597514846011613E-2</v>
      </c>
      <c r="M141" s="1">
        <v>4.4597514846011599E-2</v>
      </c>
      <c r="N141" s="1">
        <v>4.4597514846011613E-2</v>
      </c>
      <c r="O141" s="1">
        <v>4.3334628755940789E-2</v>
      </c>
      <c r="P141" s="1"/>
    </row>
    <row r="142" spans="1:16" x14ac:dyDescent="0.25">
      <c r="A142" s="2">
        <v>133</v>
      </c>
      <c r="B142" s="1" t="s">
        <v>38</v>
      </c>
      <c r="C142" s="1" t="s">
        <v>65</v>
      </c>
      <c r="D142" s="1">
        <v>2.59253181955694E-2</v>
      </c>
      <c r="E142" s="1">
        <v>2.5942808172570941E-2</v>
      </c>
      <c r="F142" s="1">
        <v>2.6043802900114481E-2</v>
      </c>
      <c r="G142" s="1">
        <v>2.5833561705478281E-2</v>
      </c>
      <c r="H142" s="1">
        <v>2.5473085446271509E-2</v>
      </c>
      <c r="I142" s="1">
        <v>2.5181595007970198E-2</v>
      </c>
      <c r="J142" s="1">
        <v>2.6814803923002329E-2</v>
      </c>
      <c r="K142" s="1">
        <v>2.681480392300236E-2</v>
      </c>
      <c r="L142" s="1">
        <v>2.681480392300236E-2</v>
      </c>
      <c r="M142" s="1">
        <v>2.681480392300236E-2</v>
      </c>
      <c r="N142" s="1">
        <v>2.681480392300236E-2</v>
      </c>
      <c r="O142" s="1">
        <v>2.622492645845332E-2</v>
      </c>
      <c r="P142" s="1"/>
    </row>
    <row r="143" spans="1:16" x14ac:dyDescent="0.25">
      <c r="A143" s="2">
        <v>134</v>
      </c>
      <c r="B143" s="1" t="s">
        <v>38</v>
      </c>
      <c r="C143" s="1" t="s">
        <v>66</v>
      </c>
      <c r="D143" s="1">
        <v>4.7549652358892233E-2</v>
      </c>
      <c r="E143" s="1">
        <v>4.8053991548359168E-2</v>
      </c>
      <c r="F143" s="1">
        <v>4.8528095133312611E-2</v>
      </c>
      <c r="G143" s="1">
        <v>4.7705544088975108E-2</v>
      </c>
      <c r="H143" s="1">
        <v>4.7228350044580363E-2</v>
      </c>
      <c r="I143" s="1">
        <v>4.691966452470113E-2</v>
      </c>
      <c r="J143" s="1">
        <v>5.1513227776089472E-2</v>
      </c>
      <c r="K143" s="1">
        <v>5.1513227776089507E-2</v>
      </c>
      <c r="L143" s="1">
        <v>5.1513227776089507E-2</v>
      </c>
      <c r="M143" s="1">
        <v>5.1513227776089521E-2</v>
      </c>
      <c r="N143" s="1">
        <v>5.1513227776089521E-2</v>
      </c>
      <c r="O143" s="1">
        <v>4.9413766961751662E-2</v>
      </c>
      <c r="P143" s="1"/>
    </row>
    <row r="144" spans="1:16" x14ac:dyDescent="0.25">
      <c r="A144" s="2">
        <v>135</v>
      </c>
      <c r="B144" s="1" t="s">
        <v>38</v>
      </c>
      <c r="C144" s="1" t="s">
        <v>67</v>
      </c>
      <c r="D144" s="1">
        <v>1.003508902758905E-2</v>
      </c>
      <c r="E144" s="1">
        <v>1.00154612180932E-2</v>
      </c>
      <c r="F144" s="1">
        <v>1.014148968477714E-2</v>
      </c>
      <c r="G144" s="1">
        <v>1.023635618032254E-2</v>
      </c>
      <c r="H144" s="1">
        <v>1.015199259674909E-2</v>
      </c>
      <c r="I144" s="1">
        <v>1.034005546178565E-2</v>
      </c>
      <c r="J144" s="1">
        <v>9.2824006510336052E-3</v>
      </c>
      <c r="K144" s="1">
        <v>9.2824006510336208E-3</v>
      </c>
      <c r="L144" s="1">
        <v>9.2824006510336208E-3</v>
      </c>
      <c r="M144" s="1">
        <v>9.2824006510336191E-3</v>
      </c>
      <c r="N144" s="1">
        <v>9.2824006510336191E-3</v>
      </c>
      <c r="O144" s="1">
        <v>9.757495220407704E-3</v>
      </c>
      <c r="P144" s="1"/>
    </row>
    <row r="145" spans="1:16" x14ac:dyDescent="0.25">
      <c r="A145" s="2">
        <v>136</v>
      </c>
      <c r="B145" s="1" t="s">
        <v>38</v>
      </c>
      <c r="C145" s="1" t="s">
        <v>68</v>
      </c>
      <c r="D145" s="1">
        <v>8.7940735050993438E-3</v>
      </c>
      <c r="E145" s="1">
        <v>8.7038500971234369E-3</v>
      </c>
      <c r="F145" s="1">
        <v>8.7297900505401548E-3</v>
      </c>
      <c r="G145" s="1">
        <v>8.5274015426527842E-3</v>
      </c>
      <c r="H145" s="1">
        <v>8.4776079512967738E-3</v>
      </c>
      <c r="I145" s="1">
        <v>8.4604821230086346E-3</v>
      </c>
      <c r="J145" s="1">
        <v>8.1692711416479543E-3</v>
      </c>
      <c r="K145" s="1">
        <v>8.1692711416479196E-3</v>
      </c>
      <c r="L145" s="1">
        <v>8.1692711416479179E-3</v>
      </c>
      <c r="M145" s="1">
        <v>8.1692711416479179E-3</v>
      </c>
      <c r="N145" s="1">
        <v>8.1692711416479179E-3</v>
      </c>
      <c r="O145" s="1">
        <v>8.4126873616327969E-3</v>
      </c>
      <c r="P145" s="1"/>
    </row>
    <row r="146" spans="1:16" x14ac:dyDescent="0.25">
      <c r="A146" s="2">
        <v>137</v>
      </c>
      <c r="B146" s="1" t="s">
        <v>38</v>
      </c>
      <c r="C146" s="1" t="s">
        <v>69</v>
      </c>
      <c r="D146" s="1">
        <v>7.3205310246463127E-4</v>
      </c>
      <c r="E146" s="1">
        <v>6.9601152493847264E-4</v>
      </c>
      <c r="F146" s="1">
        <v>6.6933710120918263E-4</v>
      </c>
      <c r="G146" s="1">
        <v>6.447936207130252E-4</v>
      </c>
      <c r="H146" s="1">
        <v>2.9012444008533639E-4</v>
      </c>
      <c r="I146" s="1">
        <v>2.6673807720021099E-4</v>
      </c>
      <c r="J146" s="1">
        <v>1.709617616583701E-4</v>
      </c>
      <c r="K146" s="1">
        <v>1.7096176165830039E-4</v>
      </c>
      <c r="L146" s="1">
        <v>1.7096176165830039E-4</v>
      </c>
      <c r="M146" s="1">
        <v>1.7096176165830039E-4</v>
      </c>
      <c r="N146" s="1">
        <v>1.7096176165830039E-4</v>
      </c>
      <c r="O146" s="1">
        <v>3.7762424317294832E-4</v>
      </c>
      <c r="P146" s="1"/>
    </row>
    <row r="147" spans="1:16" x14ac:dyDescent="0.25">
      <c r="A147" s="2">
        <v>138</v>
      </c>
      <c r="B147" s="1" t="s">
        <v>44</v>
      </c>
      <c r="C147" s="1" t="s">
        <v>18</v>
      </c>
      <c r="D147" s="1">
        <v>7.0168772998695566E-3</v>
      </c>
      <c r="E147" s="1">
        <v>6.7155923753941336E-3</v>
      </c>
      <c r="F147" s="1">
        <v>6.4308717833755791E-3</v>
      </c>
      <c r="G147" s="1">
        <v>6.4231322799124064E-3</v>
      </c>
      <c r="H147" s="1">
        <v>6.4824656182396554E-3</v>
      </c>
      <c r="I147" s="1">
        <v>6.6750272907990767E-3</v>
      </c>
      <c r="J147" s="1">
        <v>6.9786380874938443E-3</v>
      </c>
      <c r="K147" s="1">
        <v>6.9786380874938157E-3</v>
      </c>
      <c r="L147" s="1">
        <v>6.9786380874938148E-3</v>
      </c>
      <c r="M147" s="1">
        <v>6.9786380874938174E-3</v>
      </c>
      <c r="N147" s="1">
        <v>6.9786380874938157E-3</v>
      </c>
      <c r="O147" s="1">
        <v>6.7851960986417739E-3</v>
      </c>
      <c r="P147" s="1"/>
    </row>
    <row r="148" spans="1:16" x14ac:dyDescent="0.25">
      <c r="A148" s="2">
        <v>139</v>
      </c>
      <c r="B148" s="1" t="s">
        <v>44</v>
      </c>
      <c r="C148" s="1" t="s">
        <v>20</v>
      </c>
      <c r="D148" s="1">
        <v>4.8075832466227397E-4</v>
      </c>
      <c r="E148" s="1">
        <v>4.5926601068954788E-4</v>
      </c>
      <c r="F148" s="1">
        <v>4.0576984164769311E-4</v>
      </c>
      <c r="G148" s="1">
        <v>4.4774303235450212E-4</v>
      </c>
      <c r="H148" s="1">
        <v>4.1161643017251492E-4</v>
      </c>
      <c r="I148" s="1">
        <v>4.4441700420736781E-4</v>
      </c>
      <c r="J148" s="1">
        <v>3.8813869854432899E-4</v>
      </c>
      <c r="K148" s="1">
        <v>3.8813869854430091E-4</v>
      </c>
      <c r="L148" s="1">
        <v>3.881386985443008E-4</v>
      </c>
      <c r="M148" s="1">
        <v>3.8813869854430091E-4</v>
      </c>
      <c r="N148" s="1">
        <v>3.8813869854430069E-4</v>
      </c>
      <c r="O148" s="1">
        <v>4.1729673967776663E-4</v>
      </c>
      <c r="P148" s="1"/>
    </row>
    <row r="149" spans="1:16" x14ac:dyDescent="0.25">
      <c r="A149" s="2">
        <v>140</v>
      </c>
      <c r="B149" s="1" t="s">
        <v>44</v>
      </c>
      <c r="C149" s="1" t="s">
        <v>22</v>
      </c>
      <c r="D149" s="1">
        <v>7.0702487039136803E-3</v>
      </c>
      <c r="E149" s="1">
        <v>5.1262349927379044E-3</v>
      </c>
      <c r="F149" s="1">
        <v>4.5456684729698127E-3</v>
      </c>
      <c r="G149" s="1">
        <v>5.3349341437578428E-3</v>
      </c>
      <c r="H149" s="1">
        <v>6.5333436372894656E-3</v>
      </c>
      <c r="I149" s="1">
        <v>6.1223290979050948E-3</v>
      </c>
      <c r="J149" s="1">
        <v>4.5804396421207268E-3</v>
      </c>
      <c r="K149" s="1">
        <v>4.5804396421207094E-3</v>
      </c>
      <c r="L149" s="1">
        <v>4.5804396421207094E-3</v>
      </c>
      <c r="M149" s="1">
        <v>4.5804396421207103E-3</v>
      </c>
      <c r="N149" s="1">
        <v>4.5804396421207094E-3</v>
      </c>
      <c r="O149" s="1">
        <v>5.2395415690161236E-3</v>
      </c>
      <c r="P149" s="1"/>
    </row>
    <row r="150" spans="1:16" x14ac:dyDescent="0.25">
      <c r="A150" s="2">
        <v>141</v>
      </c>
      <c r="B150" s="1" t="s">
        <v>44</v>
      </c>
      <c r="C150" s="1" t="s">
        <v>24</v>
      </c>
      <c r="D150" s="1">
        <v>1.2267999925413651E-3</v>
      </c>
      <c r="E150" s="1">
        <v>1.29719655832644E-3</v>
      </c>
      <c r="F150" s="1">
        <v>1.2009683130781261E-3</v>
      </c>
      <c r="G150" s="1">
        <v>1.1720015865784681E-3</v>
      </c>
      <c r="H150" s="1">
        <v>1.272534374106547E-3</v>
      </c>
      <c r="I150" s="1">
        <v>1.2013326576910399E-3</v>
      </c>
      <c r="J150" s="1">
        <v>1.240431838151273E-3</v>
      </c>
      <c r="K150" s="1">
        <v>1.2404318381512029E-3</v>
      </c>
      <c r="L150" s="1">
        <v>1.2404318381512029E-3</v>
      </c>
      <c r="M150" s="1">
        <v>1.2404318381512029E-3</v>
      </c>
      <c r="N150" s="1">
        <v>1.2404318381512029E-3</v>
      </c>
      <c r="O150" s="1">
        <v>1.233908424825279E-3</v>
      </c>
      <c r="P150" s="1"/>
    </row>
    <row r="151" spans="1:16" x14ac:dyDescent="0.25">
      <c r="A151" s="2">
        <v>142</v>
      </c>
      <c r="B151" s="1" t="s">
        <v>44</v>
      </c>
      <c r="C151" s="1" t="s">
        <v>26</v>
      </c>
      <c r="D151" s="1">
        <v>1.836050529165223E-3</v>
      </c>
      <c r="E151" s="1">
        <v>1.6551095728787059E-3</v>
      </c>
      <c r="F151" s="1">
        <v>1.1867059623680469E-3</v>
      </c>
      <c r="G151" s="1">
        <v>1.0798980593446951E-3</v>
      </c>
      <c r="H151" s="1">
        <v>1.049990383833465E-3</v>
      </c>
      <c r="I151" s="1">
        <v>1.0793827433151599E-3</v>
      </c>
      <c r="J151" s="1">
        <v>9.4377398017235611E-4</v>
      </c>
      <c r="K151" s="1">
        <v>9.4377398017230201E-4</v>
      </c>
      <c r="L151" s="1">
        <v>9.4377398017230201E-4</v>
      </c>
      <c r="M151" s="1">
        <v>9.4377398017230212E-4</v>
      </c>
      <c r="N151" s="1">
        <v>9.4377398017230201E-4</v>
      </c>
      <c r="O151" s="1">
        <v>1.146000650160624E-3</v>
      </c>
      <c r="P151" s="1"/>
    </row>
    <row r="152" spans="1:16" x14ac:dyDescent="0.25">
      <c r="A152" s="2">
        <v>143</v>
      </c>
      <c r="B152" s="1" t="s">
        <v>44</v>
      </c>
      <c r="C152" s="1" t="s">
        <v>28</v>
      </c>
      <c r="D152" s="1">
        <v>2.217787455264519E-2</v>
      </c>
      <c r="E152" s="1">
        <v>2.153422485038059E-2</v>
      </c>
      <c r="F152" s="1">
        <v>2.083550520364507E-2</v>
      </c>
      <c r="G152" s="1">
        <v>2.0691749920051988E-2</v>
      </c>
      <c r="H152" s="1">
        <v>2.0925968268749311E-2</v>
      </c>
      <c r="I152" s="1">
        <v>2.032839360685788E-2</v>
      </c>
      <c r="J152" s="1">
        <v>2.1060558586915652E-2</v>
      </c>
      <c r="K152" s="1">
        <v>2.1060558586915641E-2</v>
      </c>
      <c r="L152" s="1">
        <v>2.1060558586915641E-2</v>
      </c>
      <c r="M152" s="1">
        <v>2.1060558586915641E-2</v>
      </c>
      <c r="N152" s="1">
        <v>2.1060558586915641E-2</v>
      </c>
      <c r="O152" s="1">
        <v>2.1072409939718931E-2</v>
      </c>
      <c r="P152" s="1"/>
    </row>
    <row r="153" spans="1:16" x14ac:dyDescent="0.25">
      <c r="A153" s="2">
        <v>144</v>
      </c>
      <c r="B153" s="1" t="s">
        <v>44</v>
      </c>
      <c r="C153" s="1" t="s">
        <v>30</v>
      </c>
      <c r="D153" s="1">
        <v>2.7804645755804989E-3</v>
      </c>
      <c r="E153" s="1">
        <v>2.7937420153872298E-3</v>
      </c>
      <c r="F153" s="1">
        <v>2.604591509065419E-3</v>
      </c>
      <c r="G153" s="1">
        <v>2.6728296729453789E-3</v>
      </c>
      <c r="H153" s="1">
        <v>2.603805716855586E-3</v>
      </c>
      <c r="I153" s="1">
        <v>2.4741190972816288E-3</v>
      </c>
      <c r="J153" s="1">
        <v>2.1396408126590541E-3</v>
      </c>
      <c r="K153" s="1">
        <v>2.1396408126590038E-3</v>
      </c>
      <c r="L153" s="1">
        <v>2.1396408126590051E-3</v>
      </c>
      <c r="M153" s="1">
        <v>2.1396408126590051E-3</v>
      </c>
      <c r="N153" s="1">
        <v>2.1396408126590038E-3</v>
      </c>
      <c r="O153" s="1">
        <v>2.4207051500373458E-3</v>
      </c>
      <c r="P153" s="1"/>
    </row>
    <row r="154" spans="1:16" x14ac:dyDescent="0.25">
      <c r="A154" s="2">
        <v>145</v>
      </c>
      <c r="B154" s="1" t="s">
        <v>44</v>
      </c>
      <c r="C154" s="1" t="s">
        <v>32</v>
      </c>
      <c r="D154" s="1">
        <v>1.766437590761079E-3</v>
      </c>
      <c r="E154" s="1">
        <v>1.7714836108098659E-3</v>
      </c>
      <c r="F154" s="1">
        <v>1.8208949333689221E-3</v>
      </c>
      <c r="G154" s="1">
        <v>1.793602194909201E-3</v>
      </c>
      <c r="H154" s="1">
        <v>1.8180527867969389E-3</v>
      </c>
      <c r="I154" s="1">
        <v>1.8155321414342761E-3</v>
      </c>
      <c r="J154" s="1">
        <v>1.9004607295067539E-3</v>
      </c>
      <c r="K154" s="1">
        <v>1.900460729506704E-3</v>
      </c>
      <c r="L154" s="1">
        <v>1.900460729506704E-3</v>
      </c>
      <c r="M154" s="1">
        <v>1.900460729506704E-3</v>
      </c>
      <c r="N154" s="1">
        <v>1.900460729506704E-3</v>
      </c>
      <c r="O154" s="1">
        <v>1.844391536873987E-3</v>
      </c>
      <c r="P154" s="1"/>
    </row>
    <row r="155" spans="1:16" x14ac:dyDescent="0.25">
      <c r="A155" s="2">
        <v>146</v>
      </c>
      <c r="B155" s="1" t="s">
        <v>44</v>
      </c>
      <c r="C155" s="1" t="s">
        <v>33</v>
      </c>
      <c r="D155" s="1">
        <v>5.2348068611367208E-3</v>
      </c>
      <c r="E155" s="1">
        <v>5.136321887747099E-3</v>
      </c>
      <c r="F155" s="1">
        <v>5.0201088921104798E-3</v>
      </c>
      <c r="G155" s="1">
        <v>5.0996969874222238E-3</v>
      </c>
      <c r="H155" s="1">
        <v>5.0764395682204718E-3</v>
      </c>
      <c r="I155" s="1">
        <v>4.7051677400656881E-3</v>
      </c>
      <c r="J155" s="1">
        <v>4.4693797523447298E-3</v>
      </c>
      <c r="K155" s="1">
        <v>4.4693797523447099E-3</v>
      </c>
      <c r="L155" s="1">
        <v>4.4693797523447107E-3</v>
      </c>
      <c r="M155" s="1">
        <v>4.4693797523447107E-3</v>
      </c>
      <c r="N155" s="1">
        <v>4.4693797523447107E-3</v>
      </c>
      <c r="O155" s="1">
        <v>4.7835855180387498E-3</v>
      </c>
      <c r="P155" s="1"/>
    </row>
    <row r="156" spans="1:16" x14ac:dyDescent="0.25">
      <c r="A156" s="2">
        <v>147</v>
      </c>
      <c r="B156" s="1" t="s">
        <v>44</v>
      </c>
      <c r="C156" s="1" t="s">
        <v>34</v>
      </c>
      <c r="D156" s="1">
        <v>8.348727655419606E-3</v>
      </c>
      <c r="E156" s="1">
        <v>5.4626626086328144E-3</v>
      </c>
      <c r="F156" s="1">
        <v>4.9455766077545812E-3</v>
      </c>
      <c r="G156" s="1">
        <v>5.9349477210439826E-3</v>
      </c>
      <c r="H156" s="1">
        <v>6.5523913323865873E-3</v>
      </c>
      <c r="I156" s="1">
        <v>6.2567993736182851E-3</v>
      </c>
      <c r="J156" s="1">
        <v>4.4608328089071753E-3</v>
      </c>
      <c r="K156" s="1">
        <v>4.4608328089071093E-3</v>
      </c>
      <c r="L156" s="1">
        <v>4.4608328089071093E-3</v>
      </c>
      <c r="M156" s="1">
        <v>4.4608328089071093E-3</v>
      </c>
      <c r="N156" s="1">
        <v>4.4608328089071102E-3</v>
      </c>
      <c r="O156" s="1">
        <v>5.4368426675810424E-3</v>
      </c>
      <c r="P156" s="1"/>
    </row>
    <row r="157" spans="1:16" x14ac:dyDescent="0.25">
      <c r="A157" s="2">
        <v>148</v>
      </c>
      <c r="B157" s="1" t="s">
        <v>44</v>
      </c>
      <c r="C157" s="1" t="s">
        <v>35</v>
      </c>
      <c r="D157" s="1">
        <v>7.8452549362684545E-3</v>
      </c>
      <c r="E157" s="1">
        <v>7.7769648233121068E-3</v>
      </c>
      <c r="F157" s="1">
        <v>7.316722233034951E-3</v>
      </c>
      <c r="G157" s="1">
        <v>7.4718281986570446E-3</v>
      </c>
      <c r="H157" s="1">
        <v>7.6219344040620854E-3</v>
      </c>
      <c r="I157" s="1">
        <v>7.2273426955757414E-3</v>
      </c>
      <c r="J157" s="1">
        <v>7.2307309398081856E-3</v>
      </c>
      <c r="K157" s="1">
        <v>7.2307309398081153E-3</v>
      </c>
      <c r="L157" s="1">
        <v>7.2307309398081153E-3</v>
      </c>
      <c r="M157" s="1">
        <v>7.2307309398081162E-3</v>
      </c>
      <c r="N157" s="1">
        <v>7.2307309398081162E-3</v>
      </c>
      <c r="O157" s="1">
        <v>7.4012456354500926E-3</v>
      </c>
      <c r="P157" s="1"/>
    </row>
    <row r="158" spans="1:16" x14ac:dyDescent="0.25">
      <c r="A158" s="2">
        <v>149</v>
      </c>
      <c r="B158" s="1" t="s">
        <v>44</v>
      </c>
      <c r="C158" s="1" t="s">
        <v>36</v>
      </c>
      <c r="D158" s="1">
        <v>5.0791909898737142E-3</v>
      </c>
      <c r="E158" s="1">
        <v>5.0550021521311751E-3</v>
      </c>
      <c r="F158" s="1">
        <v>5.5362969328039482E-3</v>
      </c>
      <c r="G158" s="1">
        <v>5.3918221187653891E-3</v>
      </c>
      <c r="H158" s="1">
        <v>5.5520638288104893E-3</v>
      </c>
      <c r="I158" s="1">
        <v>5.6662849046341616E-3</v>
      </c>
      <c r="J158" s="1">
        <v>6.6968408286155866E-3</v>
      </c>
      <c r="K158" s="1">
        <v>6.6968408286155147E-3</v>
      </c>
      <c r="L158" s="1">
        <v>6.6968408286155147E-3</v>
      </c>
      <c r="M158" s="1">
        <v>6.6968408286155164E-3</v>
      </c>
      <c r="N158" s="1">
        <v>6.6968408286155147E-3</v>
      </c>
      <c r="O158" s="1">
        <v>5.9786240972815024E-3</v>
      </c>
      <c r="P158" s="1"/>
    </row>
    <row r="159" spans="1:16" x14ac:dyDescent="0.25">
      <c r="A159" s="2">
        <v>150</v>
      </c>
      <c r="B159" s="1" t="s">
        <v>44</v>
      </c>
      <c r="C159" s="1" t="s">
        <v>37</v>
      </c>
      <c r="D159" s="1">
        <v>5.170553332151195E-3</v>
      </c>
      <c r="E159" s="1">
        <v>5.1587285353294444E-3</v>
      </c>
      <c r="F159" s="1">
        <v>5.1572114892589841E-3</v>
      </c>
      <c r="G159" s="1">
        <v>5.0621075449149861E-3</v>
      </c>
      <c r="H159" s="1">
        <v>5.0522314785112878E-3</v>
      </c>
      <c r="I159" s="1">
        <v>4.7293950379910027E-3</v>
      </c>
      <c r="J159" s="1">
        <v>4.5529013567816527E-3</v>
      </c>
      <c r="K159" s="1">
        <v>4.5529013567816093E-3</v>
      </c>
      <c r="L159" s="1">
        <v>4.5529013567816093E-3</v>
      </c>
      <c r="M159" s="1">
        <v>4.5529013567816093E-3</v>
      </c>
      <c r="N159" s="1">
        <v>4.5529013567816102E-3</v>
      </c>
      <c r="O159" s="1">
        <v>4.8267940183695443E-3</v>
      </c>
      <c r="P159" s="1"/>
    </row>
    <row r="160" spans="1:16" x14ac:dyDescent="0.25">
      <c r="A160" s="2">
        <v>151</v>
      </c>
      <c r="B160" s="1" t="s">
        <v>44</v>
      </c>
      <c r="C160" s="1" t="s">
        <v>39</v>
      </c>
      <c r="D160" s="1">
        <v>3.315202990675161E-3</v>
      </c>
      <c r="E160" s="1">
        <v>3.381046012261604E-3</v>
      </c>
      <c r="F160" s="1">
        <v>3.3420760236797958E-3</v>
      </c>
      <c r="G160" s="1">
        <v>3.2656361876517571E-3</v>
      </c>
      <c r="H160" s="1">
        <v>3.254820270162597E-3</v>
      </c>
      <c r="I160" s="1">
        <v>3.2353092180753642E-3</v>
      </c>
      <c r="J160" s="1">
        <v>3.0888049084374122E-3</v>
      </c>
      <c r="K160" s="1">
        <v>3.088804908437407E-3</v>
      </c>
      <c r="L160" s="1">
        <v>3.088804908437407E-3</v>
      </c>
      <c r="M160" s="1">
        <v>3.088804908437407E-3</v>
      </c>
      <c r="N160" s="1">
        <v>3.088804908437407E-3</v>
      </c>
      <c r="O160" s="1">
        <v>3.203465022244847E-3</v>
      </c>
      <c r="P160" s="1"/>
    </row>
    <row r="161" spans="1:16" x14ac:dyDescent="0.25">
      <c r="A161" s="2">
        <v>152</v>
      </c>
      <c r="B161" s="1" t="s">
        <v>44</v>
      </c>
      <c r="C161" s="1" t="s">
        <v>40</v>
      </c>
      <c r="D161" s="1">
        <v>3.8335811033340448E-3</v>
      </c>
      <c r="E161" s="1">
        <v>3.5637031296262499E-3</v>
      </c>
      <c r="F161" s="1">
        <v>3.275586546414886E-3</v>
      </c>
      <c r="G161" s="1">
        <v>3.175513748710051E-3</v>
      </c>
      <c r="H161" s="1">
        <v>3.1516439399679138E-3</v>
      </c>
      <c r="I161" s="1">
        <v>2.9859227596420301E-3</v>
      </c>
      <c r="J161" s="1">
        <v>2.7406974734591511E-3</v>
      </c>
      <c r="K161" s="1">
        <v>2.740697473459106E-3</v>
      </c>
      <c r="L161" s="1">
        <v>2.740697473459106E-3</v>
      </c>
      <c r="M161" s="1">
        <v>2.740697473459106E-3</v>
      </c>
      <c r="N161" s="1">
        <v>2.740697473459106E-3</v>
      </c>
      <c r="O161" s="1">
        <v>3.0626762359082498E-3</v>
      </c>
      <c r="P161" s="1"/>
    </row>
    <row r="162" spans="1:16" x14ac:dyDescent="0.25">
      <c r="A162" s="2">
        <v>153</v>
      </c>
      <c r="B162" s="1" t="s">
        <v>44</v>
      </c>
      <c r="C162" s="1" t="s">
        <v>41</v>
      </c>
      <c r="D162" s="1">
        <v>8.0956328859775398E-3</v>
      </c>
      <c r="E162" s="1">
        <v>7.779822256418426E-3</v>
      </c>
      <c r="F162" s="1">
        <v>7.4839342372380671E-3</v>
      </c>
      <c r="G162" s="1">
        <v>7.4579776589599198E-3</v>
      </c>
      <c r="H162" s="1">
        <v>7.5775108235331731E-3</v>
      </c>
      <c r="I162" s="1">
        <v>7.4810036213191367E-3</v>
      </c>
      <c r="J162" s="1">
        <v>7.3119017150088481E-3</v>
      </c>
      <c r="K162" s="1">
        <v>7.311901715008816E-3</v>
      </c>
      <c r="L162" s="1">
        <v>7.311901715008816E-3</v>
      </c>
      <c r="M162" s="1">
        <v>7.3119017150088169E-3</v>
      </c>
      <c r="N162" s="1">
        <v>7.3119017150088152E-3</v>
      </c>
      <c r="O162" s="1">
        <v>7.4941263689536691E-3</v>
      </c>
      <c r="P162" s="1"/>
    </row>
    <row r="163" spans="1:16" x14ac:dyDescent="0.25">
      <c r="A163" s="2">
        <v>154</v>
      </c>
      <c r="B163" s="1" t="s">
        <v>44</v>
      </c>
      <c r="C163" s="20" t="s">
        <v>19</v>
      </c>
      <c r="D163" s="20">
        <v>5.474198763838113E-3</v>
      </c>
      <c r="E163" s="20">
        <v>4.8096376503130823E-3</v>
      </c>
      <c r="F163" s="20">
        <v>5.0155081338169056E-3</v>
      </c>
      <c r="G163" s="20">
        <v>5.0319984185450356E-3</v>
      </c>
      <c r="H163" s="20">
        <v>4.7863212362689511E-3</v>
      </c>
      <c r="I163" s="20">
        <v>4.8464644038710659E-3</v>
      </c>
      <c r="J163" s="20">
        <v>4.6549441372728444E-3</v>
      </c>
      <c r="K163" s="20">
        <v>4.6549441372728106E-3</v>
      </c>
      <c r="L163" s="20">
        <v>4.6549441372728106E-3</v>
      </c>
      <c r="M163" s="20">
        <v>4.6549441372728106E-3</v>
      </c>
      <c r="N163" s="20">
        <v>4.6549441372728106E-3</v>
      </c>
      <c r="O163" s="20">
        <v>4.839895390274295E-3</v>
      </c>
      <c r="P163" s="1"/>
    </row>
    <row r="164" spans="1:16" x14ac:dyDescent="0.25">
      <c r="A164" s="2">
        <v>155</v>
      </c>
      <c r="B164" s="1" t="s">
        <v>44</v>
      </c>
      <c r="C164" s="1" t="s">
        <v>42</v>
      </c>
      <c r="D164" s="1">
        <v>3.1131784938093921E-3</v>
      </c>
      <c r="E164" s="1">
        <v>3.077018252626879E-3</v>
      </c>
      <c r="F164" s="1">
        <v>2.939066637008248E-3</v>
      </c>
      <c r="G164" s="1">
        <v>2.8629629139417809E-3</v>
      </c>
      <c r="H164" s="1">
        <v>2.756881642656812E-3</v>
      </c>
      <c r="I164" s="1">
        <v>2.683615843989344E-3</v>
      </c>
      <c r="J164" s="1">
        <v>2.8524290287312249E-3</v>
      </c>
      <c r="K164" s="1">
        <v>2.8524290287312059E-3</v>
      </c>
      <c r="L164" s="1">
        <v>2.8524290287312059E-3</v>
      </c>
      <c r="M164" s="1">
        <v>2.8524290287312072E-3</v>
      </c>
      <c r="N164" s="1">
        <v>2.8524290287312059E-3</v>
      </c>
      <c r="O164" s="1">
        <v>2.8813517206989548E-3</v>
      </c>
      <c r="P164" s="1"/>
    </row>
    <row r="165" spans="1:16" x14ac:dyDescent="0.25">
      <c r="A165" s="2">
        <v>156</v>
      </c>
      <c r="B165" s="1" t="s">
        <v>44</v>
      </c>
      <c r="C165" s="1" t="s">
        <v>43</v>
      </c>
      <c r="D165" s="1">
        <v>8.3333323435993683E-3</v>
      </c>
      <c r="E165" s="1">
        <v>8.0628642778296893E-3</v>
      </c>
      <c r="F165" s="1">
        <v>7.7882658784352186E-3</v>
      </c>
      <c r="G165" s="1">
        <v>7.7826370419960822E-3</v>
      </c>
      <c r="H165" s="1">
        <v>8.1226031485950451E-3</v>
      </c>
      <c r="I165" s="1">
        <v>7.8004243557169596E-3</v>
      </c>
      <c r="J165" s="1">
        <v>7.0720667579978747E-3</v>
      </c>
      <c r="K165" s="1">
        <v>7.0720667579978148E-3</v>
      </c>
      <c r="L165" s="1">
        <v>7.0720667579978157E-3</v>
      </c>
      <c r="M165" s="1">
        <v>7.0720667579978157E-3</v>
      </c>
      <c r="N165" s="1">
        <v>7.0720667579978157E-3</v>
      </c>
      <c r="O165" s="1">
        <v>7.5682237123783176E-3</v>
      </c>
      <c r="P165" s="1"/>
    </row>
    <row r="166" spans="1:16" x14ac:dyDescent="0.25">
      <c r="A166" s="2">
        <v>157</v>
      </c>
      <c r="B166" s="1" t="s">
        <v>44</v>
      </c>
      <c r="C166" s="1" t="s">
        <v>45</v>
      </c>
      <c r="D166" s="1">
        <v>1.284626684027392E-2</v>
      </c>
      <c r="E166" s="1">
        <v>1.304251139077453E-2</v>
      </c>
      <c r="F166" s="1">
        <v>1.414276507413747E-2</v>
      </c>
      <c r="G166" s="1">
        <v>1.420401025213191E-2</v>
      </c>
      <c r="H166" s="1">
        <v>1.361741342495122E-2</v>
      </c>
      <c r="I166" s="1">
        <v>1.287876266165401E-2</v>
      </c>
      <c r="J166" s="1">
        <v>1.116041067441927E-2</v>
      </c>
      <c r="K166" s="1">
        <v>1.1160410674419219E-2</v>
      </c>
      <c r="L166" s="1">
        <v>1.1160410674419219E-2</v>
      </c>
      <c r="M166" s="1">
        <v>1.116041067441923E-2</v>
      </c>
      <c r="N166" s="1">
        <v>1.1160410674419219E-2</v>
      </c>
      <c r="O166" s="1">
        <v>1.2412162092365391E-2</v>
      </c>
      <c r="P166" s="1"/>
    </row>
    <row r="167" spans="1:16" x14ac:dyDescent="0.25">
      <c r="A167" s="2">
        <v>158</v>
      </c>
      <c r="B167" s="1" t="s">
        <v>44</v>
      </c>
      <c r="C167" s="1" t="s">
        <v>46</v>
      </c>
      <c r="D167" s="1">
        <v>7.0825857377831286E-3</v>
      </c>
      <c r="E167" s="1">
        <v>7.4526695873276356E-3</v>
      </c>
      <c r="F167" s="1">
        <v>7.6079161533271211E-3</v>
      </c>
      <c r="G167" s="1">
        <v>7.6883304079547526E-3</v>
      </c>
      <c r="H167" s="1">
        <v>7.3568605560535086E-3</v>
      </c>
      <c r="I167" s="1">
        <v>6.9223722126067096E-3</v>
      </c>
      <c r="J167" s="1">
        <v>6.4197788114846574E-3</v>
      </c>
      <c r="K167" s="1">
        <v>6.419778811484614E-3</v>
      </c>
      <c r="L167" s="1">
        <v>6.419778811484614E-3</v>
      </c>
      <c r="M167" s="1">
        <v>6.4197788114846149E-3</v>
      </c>
      <c r="N167" s="1">
        <v>6.419778811484614E-3</v>
      </c>
      <c r="O167" s="1">
        <v>6.9281480647705443E-3</v>
      </c>
      <c r="P167" s="1"/>
    </row>
    <row r="168" spans="1:16" x14ac:dyDescent="0.25">
      <c r="A168" s="2">
        <v>159</v>
      </c>
      <c r="B168" s="1" t="s">
        <v>44</v>
      </c>
      <c r="C168" s="1" t="s">
        <v>47</v>
      </c>
      <c r="D168" s="1">
        <v>8.0274897025109111E-3</v>
      </c>
      <c r="E168" s="1">
        <v>8.0125547178921865E-3</v>
      </c>
      <c r="F168" s="1">
        <v>8.1820737485196211E-3</v>
      </c>
      <c r="G168" s="1">
        <v>8.2864312103382073E-3</v>
      </c>
      <c r="H168" s="1">
        <v>8.1876683075722059E-3</v>
      </c>
      <c r="I168" s="1">
        <v>7.5530794339093267E-3</v>
      </c>
      <c r="J168" s="1">
        <v>7.9676319471894495E-3</v>
      </c>
      <c r="K168" s="1">
        <v>7.9676319471894165E-3</v>
      </c>
      <c r="L168" s="1">
        <v>7.9676319471894165E-3</v>
      </c>
      <c r="M168" s="1">
        <v>7.9676319471894182E-3</v>
      </c>
      <c r="N168" s="1">
        <v>7.9676319471894165E-3</v>
      </c>
      <c r="O168" s="1">
        <v>8.0079506233354143E-3</v>
      </c>
      <c r="P168" s="1"/>
    </row>
    <row r="169" spans="1:16" x14ac:dyDescent="0.25">
      <c r="A169" s="2">
        <v>160</v>
      </c>
      <c r="B169" s="1" t="s">
        <v>44</v>
      </c>
      <c r="C169" s="1" t="s">
        <v>48</v>
      </c>
      <c r="D169" s="1">
        <v>2.8713622377615731E-2</v>
      </c>
      <c r="E169" s="1">
        <v>2.743206046815622E-2</v>
      </c>
      <c r="F169" s="1">
        <v>2.6288664730099581E-2</v>
      </c>
      <c r="G169" s="1">
        <v>2.5564834316548019E-2</v>
      </c>
      <c r="H169" s="1">
        <v>2.5691300744057888E-2</v>
      </c>
      <c r="I169" s="1">
        <v>2.5259358487627111E-2</v>
      </c>
      <c r="J169" s="1">
        <v>2.5506262130523739E-2</v>
      </c>
      <c r="K169" s="1">
        <v>2.550626213052376E-2</v>
      </c>
      <c r="L169" s="1">
        <v>2.550626213052376E-2</v>
      </c>
      <c r="M169" s="1">
        <v>2.550626213052376E-2</v>
      </c>
      <c r="N169" s="1">
        <v>2.550626213052375E-2</v>
      </c>
      <c r="O169" s="1">
        <v>2.604374107061121E-2</v>
      </c>
      <c r="P169" s="1"/>
    </row>
    <row r="170" spans="1:16" x14ac:dyDescent="0.25">
      <c r="A170" s="2">
        <v>161</v>
      </c>
      <c r="B170" s="1" t="s">
        <v>44</v>
      </c>
      <c r="C170" s="1" t="s">
        <v>49</v>
      </c>
      <c r="D170" s="1">
        <v>9.8860170900134919E-3</v>
      </c>
      <c r="E170" s="1">
        <v>9.6886500289943573E-3</v>
      </c>
      <c r="F170" s="1">
        <v>9.6896740819416866E-3</v>
      </c>
      <c r="G170" s="1">
        <v>9.6100885213438771E-3</v>
      </c>
      <c r="H170" s="1">
        <v>9.5989494383431247E-3</v>
      </c>
      <c r="I170" s="1">
        <v>9.3932376108911263E-3</v>
      </c>
      <c r="J170" s="1">
        <v>9.628274511322631E-3</v>
      </c>
      <c r="K170" s="1">
        <v>9.6282745113226206E-3</v>
      </c>
      <c r="L170" s="1">
        <v>9.6282745113226206E-3</v>
      </c>
      <c r="M170" s="1">
        <v>9.6282745113226223E-3</v>
      </c>
      <c r="N170" s="1">
        <v>9.6282745113226206E-3</v>
      </c>
      <c r="O170" s="1">
        <v>9.6370899389218879E-3</v>
      </c>
      <c r="P170" s="1"/>
    </row>
    <row r="171" spans="1:16" x14ac:dyDescent="0.25">
      <c r="A171" s="2">
        <v>162</v>
      </c>
      <c r="B171" s="1" t="s">
        <v>44</v>
      </c>
      <c r="C171" s="1" t="s">
        <v>50</v>
      </c>
      <c r="D171" s="1">
        <v>6.1072474536421471E-2</v>
      </c>
      <c r="E171" s="1">
        <v>6.4508675932015813E-2</v>
      </c>
      <c r="F171" s="1">
        <v>6.5279920869683719E-2</v>
      </c>
      <c r="G171" s="1">
        <v>6.6419742227964346E-2</v>
      </c>
      <c r="H171" s="1">
        <v>6.8845203264077406E-2</v>
      </c>
      <c r="I171" s="1">
        <v>6.8793005746558764E-2</v>
      </c>
      <c r="J171" s="1">
        <v>6.3551158950137784E-2</v>
      </c>
      <c r="K171" s="1">
        <v>6.355115895013784E-2</v>
      </c>
      <c r="L171" s="1">
        <v>6.355115895013784E-2</v>
      </c>
      <c r="M171" s="1">
        <v>6.355115895013784E-2</v>
      </c>
      <c r="N171" s="1">
        <v>6.355115895013784E-2</v>
      </c>
      <c r="O171" s="1">
        <v>6.4788619757037327E-2</v>
      </c>
      <c r="P171" s="1"/>
    </row>
    <row r="172" spans="1:16" x14ac:dyDescent="0.25">
      <c r="A172" s="2">
        <v>163</v>
      </c>
      <c r="B172" s="1" t="s">
        <v>44</v>
      </c>
      <c r="C172" s="17" t="s">
        <v>21</v>
      </c>
      <c r="D172" s="17">
        <v>7.3813943395847695E-2</v>
      </c>
      <c r="E172" s="17">
        <v>7.5004261947357209E-2</v>
      </c>
      <c r="F172" s="17">
        <v>7.2825045192226337E-2</v>
      </c>
      <c r="G172" s="17">
        <v>7.330952327074261E-2</v>
      </c>
      <c r="H172" s="17">
        <v>7.3869013119664165E-2</v>
      </c>
      <c r="I172" s="17">
        <v>7.5121322700096152E-2</v>
      </c>
      <c r="J172" s="17">
        <v>7.5897529390976659E-2</v>
      </c>
      <c r="K172" s="17">
        <v>7.589752939097677E-2</v>
      </c>
      <c r="L172" s="17">
        <v>7.5897529390976784E-2</v>
      </c>
      <c r="M172" s="17">
        <v>7.589752939097677E-2</v>
      </c>
      <c r="N172" s="17">
        <v>7.589752939097677E-2</v>
      </c>
      <c r="O172" s="17">
        <v>7.4857341507347075E-2</v>
      </c>
      <c r="P172" s="1"/>
    </row>
    <row r="173" spans="1:16" x14ac:dyDescent="0.25">
      <c r="A173" s="2">
        <v>164</v>
      </c>
      <c r="B173" s="1" t="s">
        <v>44</v>
      </c>
      <c r="C173" s="1" t="s">
        <v>52</v>
      </c>
      <c r="D173" s="1">
        <v>1.4328833883961931E-2</v>
      </c>
      <c r="E173" s="1">
        <v>1.420164552546118E-2</v>
      </c>
      <c r="F173" s="1">
        <v>1.392700655001438E-2</v>
      </c>
      <c r="G173" s="1">
        <v>1.352613648929807E-2</v>
      </c>
      <c r="H173" s="1">
        <v>1.376857984693575E-2</v>
      </c>
      <c r="I173" s="1">
        <v>1.3755379349324319E-2</v>
      </c>
      <c r="J173" s="1">
        <v>1.1549624037757319E-2</v>
      </c>
      <c r="K173" s="1">
        <v>1.1549624037757319E-2</v>
      </c>
      <c r="L173" s="1">
        <v>1.1549624037757319E-2</v>
      </c>
      <c r="M173" s="1">
        <v>1.154962403775733E-2</v>
      </c>
      <c r="N173" s="1">
        <v>1.154962403775733E-2</v>
      </c>
      <c r="O173" s="1">
        <v>1.284142743943475E-2</v>
      </c>
      <c r="P173" s="1"/>
    </row>
    <row r="174" spans="1:16" x14ac:dyDescent="0.25">
      <c r="A174" s="2">
        <v>165</v>
      </c>
      <c r="B174" s="1" t="s">
        <v>44</v>
      </c>
      <c r="C174" s="1" t="s">
        <v>53</v>
      </c>
      <c r="D174" s="1">
        <v>3.3120259446486129E-3</v>
      </c>
      <c r="E174" s="1">
        <v>3.3746128841752451E-3</v>
      </c>
      <c r="F174" s="1">
        <v>3.3572414862030591E-3</v>
      </c>
      <c r="G174" s="1">
        <v>3.139478435811245E-3</v>
      </c>
      <c r="H174" s="1">
        <v>3.0253168486237061E-3</v>
      </c>
      <c r="I174" s="1">
        <v>3.1152094462665249E-3</v>
      </c>
      <c r="J174" s="1">
        <v>2.3488981979612141E-3</v>
      </c>
      <c r="K174" s="1">
        <v>2.348898197961205E-3</v>
      </c>
      <c r="L174" s="1">
        <v>2.348898197961205E-3</v>
      </c>
      <c r="M174" s="1">
        <v>2.348898197961205E-3</v>
      </c>
      <c r="N174" s="1">
        <v>2.348898197961205E-3</v>
      </c>
      <c r="O174" s="1">
        <v>2.824397821412221E-3</v>
      </c>
      <c r="P174" s="1"/>
    </row>
    <row r="175" spans="1:16" x14ac:dyDescent="0.25">
      <c r="A175" s="2">
        <v>166</v>
      </c>
      <c r="B175" s="1" t="s">
        <v>44</v>
      </c>
      <c r="C175" s="1" t="s">
        <v>54</v>
      </c>
      <c r="D175" s="1">
        <v>5.2606983016521463E-3</v>
      </c>
      <c r="E175" s="1">
        <v>5.3015689618683198E-3</v>
      </c>
      <c r="F175" s="1">
        <v>5.3083378792801242E-3</v>
      </c>
      <c r="G175" s="1">
        <v>5.2739986004294364E-3</v>
      </c>
      <c r="H175" s="1">
        <v>5.5238473591885722E-3</v>
      </c>
      <c r="I175" s="1">
        <v>5.4384781263146879E-3</v>
      </c>
      <c r="J175" s="1">
        <v>1.8953056968243781E-3</v>
      </c>
      <c r="K175" s="1">
        <v>1.8953056968243039E-3</v>
      </c>
      <c r="L175" s="1">
        <v>1.8953056968243039E-3</v>
      </c>
      <c r="M175" s="1">
        <v>1.8953056968243039E-3</v>
      </c>
      <c r="N175" s="1">
        <v>1.8953056968243039E-3</v>
      </c>
      <c r="O175" s="1">
        <v>3.7803143375322629E-3</v>
      </c>
      <c r="P175" s="1"/>
    </row>
    <row r="176" spans="1:16" x14ac:dyDescent="0.25">
      <c r="A176" s="2">
        <v>167</v>
      </c>
      <c r="B176" s="1" t="s">
        <v>44</v>
      </c>
      <c r="C176" s="1" t="s">
        <v>55</v>
      </c>
      <c r="D176" s="1">
        <v>1.0653808161765921E-2</v>
      </c>
      <c r="E176" s="1">
        <v>1.069064095722198E-2</v>
      </c>
      <c r="F176" s="1">
        <v>1.075676032867681E-2</v>
      </c>
      <c r="G176" s="1">
        <v>1.07350563393331E-2</v>
      </c>
      <c r="H176" s="1">
        <v>1.0628519178054239E-2</v>
      </c>
      <c r="I176" s="1">
        <v>1.057992862309471E-2</v>
      </c>
      <c r="J176" s="1">
        <v>1.075999728893417E-2</v>
      </c>
      <c r="K176" s="1">
        <v>1.075999728893412E-2</v>
      </c>
      <c r="L176" s="1">
        <v>1.075999728893412E-2</v>
      </c>
      <c r="M176" s="1">
        <v>1.075999728893412E-2</v>
      </c>
      <c r="N176" s="1">
        <v>1.075999728893412E-2</v>
      </c>
      <c r="O176" s="1">
        <v>1.071315454843795E-2</v>
      </c>
      <c r="P176" s="1"/>
    </row>
    <row r="177" spans="1:16" x14ac:dyDescent="0.25">
      <c r="A177" s="2">
        <v>168</v>
      </c>
      <c r="B177" s="1" t="s">
        <v>44</v>
      </c>
      <c r="C177" s="1" t="s">
        <v>56</v>
      </c>
      <c r="D177" s="1">
        <v>4.4501655686360114E-3</v>
      </c>
      <c r="E177" s="1">
        <v>4.4030702010105817E-3</v>
      </c>
      <c r="F177" s="1">
        <v>4.4347049988670206E-3</v>
      </c>
      <c r="G177" s="1">
        <v>4.3897159315790177E-3</v>
      </c>
      <c r="H177" s="1">
        <v>4.39217439886571E-3</v>
      </c>
      <c r="I177" s="1">
        <v>4.2807035664735732E-3</v>
      </c>
      <c r="J177" s="1">
        <v>5.1595496328365751E-3</v>
      </c>
      <c r="K177" s="1">
        <v>5.1595496328365109E-3</v>
      </c>
      <c r="L177" s="1">
        <v>5.1595496328365109E-3</v>
      </c>
      <c r="M177" s="1">
        <v>5.1595496328365117E-3</v>
      </c>
      <c r="N177" s="1">
        <v>5.1595496328365109E-3</v>
      </c>
      <c r="O177" s="1">
        <v>4.7407529845104124E-3</v>
      </c>
      <c r="P177" s="1"/>
    </row>
    <row r="178" spans="1:16" x14ac:dyDescent="0.25">
      <c r="A178" s="2">
        <v>169</v>
      </c>
      <c r="B178" s="1" t="s">
        <v>44</v>
      </c>
      <c r="C178" s="1" t="s">
        <v>58</v>
      </c>
      <c r="D178" s="1">
        <v>0.21736763980873111</v>
      </c>
      <c r="E178" s="1">
        <v>0.21897473301503501</v>
      </c>
      <c r="F178" s="1">
        <v>0.21996775788587861</v>
      </c>
      <c r="G178" s="1">
        <v>0.2191170409030688</v>
      </c>
      <c r="H178" s="1">
        <v>0.2184124710357071</v>
      </c>
      <c r="I178" s="1">
        <v>0.22132727600910079</v>
      </c>
      <c r="J178" s="1">
        <v>0.22695047616074171</v>
      </c>
      <c r="K178" s="1">
        <v>0.2269504761607421</v>
      </c>
      <c r="L178" s="1">
        <v>0.2269504761607421</v>
      </c>
      <c r="M178" s="1">
        <v>0.2269504761607421</v>
      </c>
      <c r="N178" s="1">
        <v>0.2269504761607421</v>
      </c>
      <c r="O178" s="1">
        <v>0.22271993631465739</v>
      </c>
      <c r="P178" s="1"/>
    </row>
    <row r="179" spans="1:16" x14ac:dyDescent="0.25">
      <c r="A179" s="2">
        <v>170</v>
      </c>
      <c r="B179" s="1" t="s">
        <v>44</v>
      </c>
      <c r="C179" s="1" t="s">
        <v>59</v>
      </c>
      <c r="D179" s="1">
        <v>2.1505959010049081E-2</v>
      </c>
      <c r="E179" s="1">
        <v>2.1579428505259259E-2</v>
      </c>
      <c r="F179" s="1">
        <v>2.2108160146875291E-2</v>
      </c>
      <c r="G179" s="1">
        <v>2.244470564827912E-2</v>
      </c>
      <c r="H179" s="1">
        <v>2.2148887105668331E-2</v>
      </c>
      <c r="I179" s="1">
        <v>2.222965433706673E-2</v>
      </c>
      <c r="J179" s="1">
        <v>1.4843152589398379E-2</v>
      </c>
      <c r="K179" s="1">
        <v>1.4843152589398331E-2</v>
      </c>
      <c r="L179" s="1">
        <v>1.4843152589398331E-2</v>
      </c>
      <c r="M179" s="1">
        <v>1.4843152589398331E-2</v>
      </c>
      <c r="N179" s="1">
        <v>1.4843152589398331E-2</v>
      </c>
      <c r="O179" s="1">
        <v>1.8748414336380869E-2</v>
      </c>
      <c r="P179" s="1"/>
    </row>
    <row r="180" spans="1:16" x14ac:dyDescent="0.25">
      <c r="A180" s="2">
        <v>171</v>
      </c>
      <c r="B180" s="1" t="s">
        <v>44</v>
      </c>
      <c r="C180" s="18" t="s">
        <v>23</v>
      </c>
      <c r="D180" s="18">
        <v>1.333557646639083E-2</v>
      </c>
      <c r="E180" s="18">
        <v>1.386899659159758E-2</v>
      </c>
      <c r="F180" s="18">
        <v>1.418601220209707E-2</v>
      </c>
      <c r="G180" s="18">
        <v>1.451767117947763E-2</v>
      </c>
      <c r="H180" s="18">
        <v>1.4454738739083929E-2</v>
      </c>
      <c r="I180" s="18">
        <v>1.437916448550542E-2</v>
      </c>
      <c r="J180" s="18">
        <v>1.3849221988306629E-2</v>
      </c>
      <c r="K180" s="18">
        <v>1.3849221988306629E-2</v>
      </c>
      <c r="L180" s="18">
        <v>1.3849221988306629E-2</v>
      </c>
      <c r="M180" s="18">
        <v>1.3849221988306629E-2</v>
      </c>
      <c r="N180" s="18">
        <v>1.3849221988306629E-2</v>
      </c>
      <c r="O180" s="18">
        <v>1.399893360051687E-2</v>
      </c>
      <c r="P180" s="1"/>
    </row>
    <row r="181" spans="1:16" x14ac:dyDescent="0.25">
      <c r="A181" s="2">
        <v>172</v>
      </c>
      <c r="B181" s="1" t="s">
        <v>44</v>
      </c>
      <c r="C181" s="19" t="s">
        <v>25</v>
      </c>
      <c r="D181" s="19">
        <v>1.23818836640569E-2</v>
      </c>
      <c r="E181" s="19">
        <v>1.2126852416890309E-2</v>
      </c>
      <c r="F181" s="19">
        <v>1.1888274231367501E-2</v>
      </c>
      <c r="G181" s="19">
        <v>1.178066107720822E-2</v>
      </c>
      <c r="H181" s="19">
        <v>1.1311727018849339E-2</v>
      </c>
      <c r="I181" s="19">
        <v>1.083786401614817E-2</v>
      </c>
      <c r="J181" s="19">
        <v>1.128569308107465E-2</v>
      </c>
      <c r="K181" s="19">
        <v>1.128569308107462E-2</v>
      </c>
      <c r="L181" s="19">
        <v>1.128569308107462E-2</v>
      </c>
      <c r="M181" s="19">
        <v>1.1285693081074631E-2</v>
      </c>
      <c r="N181" s="19">
        <v>1.128569308107462E-2</v>
      </c>
      <c r="O181" s="19">
        <v>1.152324798453578E-2</v>
      </c>
      <c r="P181" s="1"/>
    </row>
    <row r="182" spans="1:16" x14ac:dyDescent="0.25">
      <c r="A182" s="2">
        <v>173</v>
      </c>
      <c r="B182" s="1" t="s">
        <v>44</v>
      </c>
      <c r="C182" s="18" t="s">
        <v>27</v>
      </c>
      <c r="D182" s="18">
        <v>1.810843489686358E-2</v>
      </c>
      <c r="E182" s="18">
        <v>1.8447806735841111E-2</v>
      </c>
      <c r="F182" s="18">
        <v>1.9044890075786081E-2</v>
      </c>
      <c r="G182" s="18">
        <v>2.0132143712585079E-2</v>
      </c>
      <c r="H182" s="18">
        <v>2.0878893476309609E-2</v>
      </c>
      <c r="I182" s="18">
        <v>2.1548275538734001E-2</v>
      </c>
      <c r="J182" s="18">
        <v>2.3099046575865811E-2</v>
      </c>
      <c r="K182" s="18">
        <v>2.309904657586585E-2</v>
      </c>
      <c r="L182" s="18">
        <v>2.309904657586585E-2</v>
      </c>
      <c r="M182" s="18">
        <v>2.309904657586585E-2</v>
      </c>
      <c r="N182" s="18">
        <v>2.309904657586586E-2</v>
      </c>
      <c r="O182" s="18">
        <v>2.1241425210495331E-2</v>
      </c>
      <c r="P182" s="1"/>
    </row>
    <row r="183" spans="1:16" x14ac:dyDescent="0.25">
      <c r="A183" s="2">
        <v>174</v>
      </c>
      <c r="B183" s="1" t="s">
        <v>44</v>
      </c>
      <c r="C183" s="1" t="s">
        <v>60</v>
      </c>
      <c r="D183" s="1">
        <v>7.0261783248024193E-2</v>
      </c>
      <c r="E183" s="1">
        <v>6.7384440330504142E-2</v>
      </c>
      <c r="F183" s="1">
        <v>7.1097307094379517E-2</v>
      </c>
      <c r="G183" s="1">
        <v>7.0443503332626001E-2</v>
      </c>
      <c r="H183" s="1">
        <v>6.7463401084790695E-2</v>
      </c>
      <c r="I183" s="1">
        <v>6.6102467817447913E-2</v>
      </c>
      <c r="J183" s="1">
        <v>6.8894980011822538E-2</v>
      </c>
      <c r="K183" s="1">
        <v>6.8894980011822649E-2</v>
      </c>
      <c r="L183" s="1">
        <v>6.8894980011822635E-2</v>
      </c>
      <c r="M183" s="1">
        <v>6.8894980011822662E-2</v>
      </c>
      <c r="N183" s="1">
        <v>6.8894980011822649E-2</v>
      </c>
      <c r="O183" s="1">
        <v>6.8838891178807773E-2</v>
      </c>
      <c r="P183" s="1"/>
    </row>
    <row r="184" spans="1:16" x14ac:dyDescent="0.25">
      <c r="A184" s="2">
        <v>175</v>
      </c>
      <c r="B184" s="1" t="s">
        <v>44</v>
      </c>
      <c r="C184" s="1" t="s">
        <v>62</v>
      </c>
      <c r="D184" s="1">
        <v>7.0344178600581883E-2</v>
      </c>
      <c r="E184" s="1">
        <v>7.2086104483930866E-2</v>
      </c>
      <c r="F184" s="1">
        <v>7.2748263648260231E-2</v>
      </c>
      <c r="G184" s="1">
        <v>7.0504660894469912E-2</v>
      </c>
      <c r="H184" s="1">
        <v>6.9430789694871861E-2</v>
      </c>
      <c r="I184" s="1">
        <v>6.8725475542861736E-2</v>
      </c>
      <c r="J184" s="1">
        <v>7.2883917434824835E-2</v>
      </c>
      <c r="K184" s="1">
        <v>7.2883917434824946E-2</v>
      </c>
      <c r="L184" s="1">
        <v>7.2883917434824946E-2</v>
      </c>
      <c r="M184" s="1">
        <v>7.288391743482496E-2</v>
      </c>
      <c r="N184" s="1">
        <v>7.2883917434824946E-2</v>
      </c>
      <c r="O184" s="1">
        <v>7.1659914549009177E-2</v>
      </c>
      <c r="P184" s="1"/>
    </row>
    <row r="185" spans="1:16" x14ac:dyDescent="0.25">
      <c r="A185" s="2">
        <v>176</v>
      </c>
      <c r="B185" s="1" t="s">
        <v>44</v>
      </c>
      <c r="C185" s="18" t="s">
        <v>29</v>
      </c>
      <c r="D185" s="18">
        <v>4.9322808185638299E-2</v>
      </c>
      <c r="E185" s="18">
        <v>5.1679597618455982E-2</v>
      </c>
      <c r="F185" s="18">
        <v>5.1836709614006937E-2</v>
      </c>
      <c r="G185" s="18">
        <v>5.3900989135182382E-2</v>
      </c>
      <c r="H185" s="18">
        <v>5.4129604210200258E-2</v>
      </c>
      <c r="I185" s="18">
        <v>5.4271954465567103E-2</v>
      </c>
      <c r="J185" s="18">
        <v>5.62218275155058E-2</v>
      </c>
      <c r="K185" s="18">
        <v>5.6221827515505918E-2</v>
      </c>
      <c r="L185" s="18">
        <v>5.6221827515505918E-2</v>
      </c>
      <c r="M185" s="18">
        <v>5.6221827515505918E-2</v>
      </c>
      <c r="N185" s="18">
        <v>5.6221827515505918E-2</v>
      </c>
      <c r="O185" s="18">
        <v>5.4204618255143687E-2</v>
      </c>
      <c r="P185" s="1"/>
    </row>
    <row r="186" spans="1:16" x14ac:dyDescent="0.25">
      <c r="A186" s="2">
        <v>177</v>
      </c>
      <c r="B186" s="1" t="s">
        <v>44</v>
      </c>
      <c r="C186" s="1" t="s">
        <v>63</v>
      </c>
      <c r="D186" s="1">
        <v>3.508875122613192E-2</v>
      </c>
      <c r="E186" s="1">
        <v>3.6262762303380887E-2</v>
      </c>
      <c r="F186" s="1">
        <v>3.6210438548029307E-2</v>
      </c>
      <c r="G186" s="1">
        <v>3.6878419672206737E-2</v>
      </c>
      <c r="H186" s="1">
        <v>3.7353382260712699E-2</v>
      </c>
      <c r="I186" s="1">
        <v>3.7942691865884892E-2</v>
      </c>
      <c r="J186" s="1">
        <v>3.3130320384833427E-2</v>
      </c>
      <c r="K186" s="1">
        <v>3.3130320384833468E-2</v>
      </c>
      <c r="L186" s="1">
        <v>3.3130320384833468E-2</v>
      </c>
      <c r="M186" s="1">
        <v>3.3130320384833482E-2</v>
      </c>
      <c r="N186" s="1">
        <v>3.3130320384833482E-2</v>
      </c>
      <c r="O186" s="1">
        <v>3.5035277072773978E-2</v>
      </c>
      <c r="P186" s="1"/>
    </row>
    <row r="187" spans="1:16" x14ac:dyDescent="0.25">
      <c r="A187" s="2">
        <v>178</v>
      </c>
      <c r="B187" s="1" t="s">
        <v>44</v>
      </c>
      <c r="C187" s="1" t="s">
        <v>64</v>
      </c>
      <c r="D187" s="1">
        <v>3.650146779526426E-2</v>
      </c>
      <c r="E187" s="1">
        <v>3.5941792932159509E-2</v>
      </c>
      <c r="F187" s="1">
        <v>3.539497970026162E-2</v>
      </c>
      <c r="G187" s="1">
        <v>3.4793563341668991E-2</v>
      </c>
      <c r="H187" s="1">
        <v>3.4377759854392918E-2</v>
      </c>
      <c r="I187" s="1">
        <v>3.4875729671905449E-2</v>
      </c>
      <c r="J187" s="1">
        <v>3.7876963653957908E-2</v>
      </c>
      <c r="K187" s="1">
        <v>3.7876963653957978E-2</v>
      </c>
      <c r="L187" s="1">
        <v>3.7876963653957978E-2</v>
      </c>
      <c r="M187" s="1">
        <v>3.7876963653957978E-2</v>
      </c>
      <c r="N187" s="1">
        <v>3.7876963653957978E-2</v>
      </c>
      <c r="O187" s="1">
        <v>3.6479101051403867E-2</v>
      </c>
      <c r="P187" s="1"/>
    </row>
    <row r="188" spans="1:16" x14ac:dyDescent="0.25">
      <c r="A188" s="2">
        <v>179</v>
      </c>
      <c r="B188" s="1" t="s">
        <v>44</v>
      </c>
      <c r="C188" s="1" t="s">
        <v>65</v>
      </c>
      <c r="D188" s="1">
        <v>3.6064193432339187E-2</v>
      </c>
      <c r="E188" s="1">
        <v>3.548038775023736E-2</v>
      </c>
      <c r="F188" s="1">
        <v>3.3864852691046568E-2</v>
      </c>
      <c r="G188" s="1">
        <v>3.3023256012538922E-2</v>
      </c>
      <c r="H188" s="1">
        <v>3.3169864551635009E-2</v>
      </c>
      <c r="I188" s="1">
        <v>3.3874722795611351E-2</v>
      </c>
      <c r="J188" s="1">
        <v>3.5345943356735958E-2</v>
      </c>
      <c r="K188" s="1">
        <v>3.5345943356735993E-2</v>
      </c>
      <c r="L188" s="1">
        <v>3.5345943356735979E-2</v>
      </c>
      <c r="M188" s="1">
        <v>3.5345943356735993E-2</v>
      </c>
      <c r="N188" s="1">
        <v>3.5345943356735979E-2</v>
      </c>
      <c r="O188" s="1">
        <v>3.4746090365189837E-2</v>
      </c>
      <c r="P188" s="1"/>
    </row>
    <row r="189" spans="1:16" x14ac:dyDescent="0.25">
      <c r="A189" s="2">
        <v>180</v>
      </c>
      <c r="B189" s="1" t="s">
        <v>44</v>
      </c>
      <c r="C189" s="1" t="s">
        <v>66</v>
      </c>
      <c r="D189" s="1">
        <v>5.0467524591820842E-2</v>
      </c>
      <c r="E189" s="1">
        <v>5.0882654840786787E-2</v>
      </c>
      <c r="F189" s="1">
        <v>5.1328973336697233E-2</v>
      </c>
      <c r="G189" s="1">
        <v>5.009900744914815E-2</v>
      </c>
      <c r="H189" s="1">
        <v>4.9858265106577843E-2</v>
      </c>
      <c r="I189" s="1">
        <v>5.131939807015138E-2</v>
      </c>
      <c r="J189" s="1">
        <v>6.0923250905107029E-2</v>
      </c>
      <c r="K189" s="1">
        <v>6.092325090510714E-2</v>
      </c>
      <c r="L189" s="1">
        <v>6.092325090510714E-2</v>
      </c>
      <c r="M189" s="1">
        <v>6.0923250905107133E-2</v>
      </c>
      <c r="N189" s="1">
        <v>6.0923250905107133E-2</v>
      </c>
      <c r="O189" s="1">
        <v>5.5324734356428887E-2</v>
      </c>
      <c r="P189" s="1"/>
    </row>
    <row r="190" spans="1:16" x14ac:dyDescent="0.25">
      <c r="A190" s="2">
        <v>181</v>
      </c>
      <c r="B190" s="1" t="s">
        <v>44</v>
      </c>
      <c r="C190" s="1" t="s">
        <v>67</v>
      </c>
      <c r="D190" s="1">
        <v>1.108692564203943E-2</v>
      </c>
      <c r="E190" s="1">
        <v>1.0878544509142491E-2</v>
      </c>
      <c r="F190" s="1">
        <v>1.064336015666298E-2</v>
      </c>
      <c r="G190" s="1">
        <v>1.101222083840169E-2</v>
      </c>
      <c r="H190" s="1">
        <v>1.0726408865450629E-2</v>
      </c>
      <c r="I190" s="1">
        <v>1.065993133961439E-2</v>
      </c>
      <c r="J190" s="1">
        <v>8.641883355424318E-3</v>
      </c>
      <c r="K190" s="1">
        <v>8.6418833554243197E-3</v>
      </c>
      <c r="L190" s="1">
        <v>8.6418833554243197E-3</v>
      </c>
      <c r="M190" s="1">
        <v>8.6418833554243197E-3</v>
      </c>
      <c r="N190" s="1">
        <v>8.6418833554243197E-3</v>
      </c>
      <c r="O190" s="1">
        <v>9.8378916480393822E-3</v>
      </c>
      <c r="P190" s="1"/>
    </row>
    <row r="191" spans="1:16" x14ac:dyDescent="0.25">
      <c r="A191" s="2">
        <v>182</v>
      </c>
      <c r="B191" s="1" t="s">
        <v>44</v>
      </c>
      <c r="C191" s="1" t="s">
        <v>68</v>
      </c>
      <c r="D191" s="1">
        <v>9.8784307791743974E-3</v>
      </c>
      <c r="E191" s="1">
        <v>1.006779861198703E-2</v>
      </c>
      <c r="F191" s="1">
        <v>1.0294418199863689E-2</v>
      </c>
      <c r="G191" s="1">
        <v>1.0342920405935241E-2</v>
      </c>
      <c r="H191" s="1">
        <v>1.0419436400637701E-2</v>
      </c>
      <c r="I191" s="1">
        <v>1.0258865089693399E-2</v>
      </c>
      <c r="J191" s="1">
        <v>9.1729692631708042E-3</v>
      </c>
      <c r="K191" s="1">
        <v>9.1729692631708198E-3</v>
      </c>
      <c r="L191" s="1">
        <v>9.1729692631708198E-3</v>
      </c>
      <c r="M191" s="1">
        <v>9.1729692631708215E-3</v>
      </c>
      <c r="N191" s="1">
        <v>9.1729692631708215E-3</v>
      </c>
      <c r="O191" s="1">
        <v>9.7387923457405035E-3</v>
      </c>
      <c r="P191" s="1"/>
    </row>
    <row r="192" spans="1:16" x14ac:dyDescent="0.25">
      <c r="A192" s="2">
        <v>183</v>
      </c>
      <c r="B192" s="1" t="s">
        <v>44</v>
      </c>
      <c r="C192" s="1" t="s">
        <v>69</v>
      </c>
      <c r="D192" s="1">
        <v>6.3733918654082153E-4</v>
      </c>
      <c r="E192" s="1">
        <v>6.0855517970334345E-4</v>
      </c>
      <c r="F192" s="1">
        <v>7.3416174473568457E-4</v>
      </c>
      <c r="G192" s="1">
        <v>7.0887096326575569E-4</v>
      </c>
      <c r="H192" s="1">
        <v>7.56905219505591E-4</v>
      </c>
      <c r="I192" s="1">
        <v>7.9742739589993411E-4</v>
      </c>
      <c r="J192" s="1">
        <v>6.7232036993365306E-4</v>
      </c>
      <c r="K192" s="1">
        <v>6.7232036993360156E-4</v>
      </c>
      <c r="L192" s="1">
        <v>6.7232036993360145E-4</v>
      </c>
      <c r="M192" s="1">
        <v>6.7232036993360156E-4</v>
      </c>
      <c r="N192" s="1">
        <v>6.7232036993360156E-4</v>
      </c>
      <c r="O192" s="1">
        <v>6.9135104902901727E-4</v>
      </c>
      <c r="P192" s="1"/>
    </row>
    <row r="193" spans="1:16" x14ac:dyDescent="0.25">
      <c r="A193" s="2">
        <v>184</v>
      </c>
      <c r="B193" s="1" t="s">
        <v>51</v>
      </c>
      <c r="C193" s="1" t="s">
        <v>18</v>
      </c>
      <c r="D193" s="1">
        <v>1.5050938145684291E-2</v>
      </c>
      <c r="E193" s="1">
        <v>1.5159737974804501E-2</v>
      </c>
      <c r="F193" s="1">
        <v>1.45528098718105E-2</v>
      </c>
      <c r="G193" s="1">
        <v>1.463583965253318E-2</v>
      </c>
      <c r="H193" s="1">
        <v>1.4555955694437159E-2</v>
      </c>
      <c r="I193" s="1">
        <v>1.447483022187351E-2</v>
      </c>
      <c r="J193" s="1">
        <v>1.555374041967935E-2</v>
      </c>
      <c r="K193" s="1">
        <v>1.5553740419679329E-2</v>
      </c>
      <c r="L193" s="1">
        <v>1.5553740419679329E-2</v>
      </c>
      <c r="M193" s="1">
        <v>1.5553740419679329E-2</v>
      </c>
      <c r="N193" s="1">
        <v>1.5553740419679329E-2</v>
      </c>
      <c r="O193" s="1">
        <v>1.5108983059958159E-2</v>
      </c>
      <c r="P193" s="1"/>
    </row>
    <row r="194" spans="1:16" x14ac:dyDescent="0.25">
      <c r="A194" s="2">
        <v>185</v>
      </c>
      <c r="B194" s="1" t="s">
        <v>51</v>
      </c>
      <c r="C194" s="1" t="s">
        <v>20</v>
      </c>
      <c r="D194" s="1">
        <v>4.5448747163593311E-4</v>
      </c>
      <c r="E194" s="1">
        <v>4.6737269172222688E-4</v>
      </c>
      <c r="F194" s="1">
        <v>4.4994653826710808E-4</v>
      </c>
      <c r="G194" s="1">
        <v>4.2323506394963318E-4</v>
      </c>
      <c r="H194" s="1">
        <v>4.2738585462535422E-4</v>
      </c>
      <c r="I194" s="1">
        <v>3.8807358838639073E-4</v>
      </c>
      <c r="J194" s="1">
        <v>3.2874189944298392E-4</v>
      </c>
      <c r="K194" s="1">
        <v>3.2874189944290071E-4</v>
      </c>
      <c r="L194" s="1">
        <v>3.2874189944290082E-4</v>
      </c>
      <c r="M194" s="1">
        <v>3.2874189944290071E-4</v>
      </c>
      <c r="N194" s="1">
        <v>3.2874189944290082E-4</v>
      </c>
      <c r="O194" s="1">
        <v>3.8674642780011222E-4</v>
      </c>
      <c r="P194" s="1"/>
    </row>
    <row r="195" spans="1:16" x14ac:dyDescent="0.25">
      <c r="A195" s="2">
        <v>186</v>
      </c>
      <c r="B195" s="1" t="s">
        <v>51</v>
      </c>
      <c r="C195" s="1" t="s">
        <v>22</v>
      </c>
      <c r="D195" s="1">
        <v>2.4825188826978922E-3</v>
      </c>
      <c r="E195" s="1">
        <v>2.1153763643740422E-3</v>
      </c>
      <c r="F195" s="1">
        <v>1.8444380580217589E-3</v>
      </c>
      <c r="G195" s="1">
        <v>1.077047159833369E-3</v>
      </c>
      <c r="H195" s="1">
        <v>1.429928268544131E-3</v>
      </c>
      <c r="I195" s="1">
        <v>1.2122824368547751E-3</v>
      </c>
      <c r="J195" s="1">
        <v>1.1190827377208111E-3</v>
      </c>
      <c r="K195" s="1">
        <v>1.119082737720802E-3</v>
      </c>
      <c r="L195" s="1">
        <v>1.119082737720803E-3</v>
      </c>
      <c r="M195" s="1">
        <v>1.119082737720802E-3</v>
      </c>
      <c r="N195" s="1">
        <v>1.119082737720802E-3</v>
      </c>
      <c r="O195" s="1">
        <v>1.432454987175453E-3</v>
      </c>
      <c r="P195" s="1"/>
    </row>
    <row r="196" spans="1:16" x14ac:dyDescent="0.25">
      <c r="A196" s="2">
        <v>187</v>
      </c>
      <c r="B196" s="1" t="s">
        <v>51</v>
      </c>
      <c r="C196" s="1" t="s">
        <v>24</v>
      </c>
      <c r="D196" s="1">
        <v>4.5075393794967368E-4</v>
      </c>
      <c r="E196" s="1">
        <v>3.5421780275394718E-4</v>
      </c>
      <c r="F196" s="1">
        <v>3.1625083979383448E-4</v>
      </c>
      <c r="G196" s="1">
        <v>9.2273292785342387E-4</v>
      </c>
      <c r="H196" s="1">
        <v>7.9310689842698105E-4</v>
      </c>
      <c r="I196" s="1">
        <v>8.0661155016358325E-4</v>
      </c>
      <c r="J196" s="1">
        <v>6.9521317603599066E-4</v>
      </c>
      <c r="K196" s="1">
        <v>6.9521317603590154E-4</v>
      </c>
      <c r="L196" s="1">
        <v>6.9521317603590165E-4</v>
      </c>
      <c r="M196" s="1">
        <v>6.9521317603590154E-4</v>
      </c>
      <c r="N196" s="1">
        <v>6.9521317603590154E-4</v>
      </c>
      <c r="O196" s="1">
        <v>6.4724907610191266E-4</v>
      </c>
      <c r="P196" s="1"/>
    </row>
    <row r="197" spans="1:16" x14ac:dyDescent="0.25">
      <c r="A197" s="2">
        <v>188</v>
      </c>
      <c r="B197" s="1" t="s">
        <v>51</v>
      </c>
      <c r="C197" s="1" t="s">
        <v>26</v>
      </c>
      <c r="D197" s="1">
        <v>1.2938902226681501E-4</v>
      </c>
      <c r="E197" s="1">
        <v>1.6772486166618831E-4</v>
      </c>
      <c r="F197" s="1">
        <v>1.6905792706521449E-4</v>
      </c>
      <c r="G197" s="1">
        <v>2.2934734738485669E-4</v>
      </c>
      <c r="H197" s="1">
        <v>1.2006109521284119E-4</v>
      </c>
      <c r="I197" s="1">
        <v>1.2600186344756899E-4</v>
      </c>
      <c r="J197" s="1">
        <v>9.025639064877617E-5</v>
      </c>
      <c r="K197" s="1">
        <v>9.0256390648776359E-5</v>
      </c>
      <c r="L197" s="1">
        <v>9.0256390648776359E-5</v>
      </c>
      <c r="M197" s="1">
        <v>9.0256390648776359E-5</v>
      </c>
      <c r="N197" s="1">
        <v>9.0256390648776359E-5</v>
      </c>
      <c r="O197" s="1">
        <v>1.2662400638976051E-4</v>
      </c>
      <c r="P197" s="1"/>
    </row>
    <row r="198" spans="1:16" x14ac:dyDescent="0.25">
      <c r="A198" s="2">
        <v>189</v>
      </c>
      <c r="B198" s="1" t="s">
        <v>51</v>
      </c>
      <c r="C198" s="1" t="s">
        <v>28</v>
      </c>
      <c r="D198" s="1">
        <v>3.4746733434024998E-2</v>
      </c>
      <c r="E198" s="1">
        <v>3.5315134821567597E-2</v>
      </c>
      <c r="F198" s="1">
        <v>3.5498311713601127E-2</v>
      </c>
      <c r="G198" s="1">
        <v>3.5407246258282322E-2</v>
      </c>
      <c r="H198" s="1">
        <v>3.4857106478057009E-2</v>
      </c>
      <c r="I198" s="1">
        <v>3.492961731626229E-2</v>
      </c>
      <c r="J198" s="1">
        <v>3.7003304927998928E-2</v>
      </c>
      <c r="K198" s="1">
        <v>3.7003304927998977E-2</v>
      </c>
      <c r="L198" s="1">
        <v>3.7003304927998977E-2</v>
      </c>
      <c r="M198" s="1">
        <v>3.7003304927998977E-2</v>
      </c>
      <c r="N198" s="1">
        <v>3.7003304927998977E-2</v>
      </c>
      <c r="O198" s="1">
        <v>3.5979152241980922E-2</v>
      </c>
      <c r="P198" s="1"/>
    </row>
    <row r="199" spans="1:16" x14ac:dyDescent="0.25">
      <c r="A199" s="2">
        <v>190</v>
      </c>
      <c r="B199" s="1" t="s">
        <v>51</v>
      </c>
      <c r="C199" s="1" t="s">
        <v>30</v>
      </c>
      <c r="D199" s="1">
        <v>2.214073796103495E-2</v>
      </c>
      <c r="E199" s="1">
        <v>2.174664489696158E-2</v>
      </c>
      <c r="F199" s="1">
        <v>2.1228896065446218E-2</v>
      </c>
      <c r="G199" s="1">
        <v>2.0960330868315141E-2</v>
      </c>
      <c r="H199" s="1">
        <v>2.1204679747073511E-2</v>
      </c>
      <c r="I199" s="1">
        <v>2.082971153015778E-2</v>
      </c>
      <c r="J199" s="1">
        <v>1.813491694390023E-2</v>
      </c>
      <c r="K199" s="1">
        <v>1.813491694390024E-2</v>
      </c>
      <c r="L199" s="1">
        <v>1.813491694390024E-2</v>
      </c>
      <c r="M199" s="1">
        <v>1.813491694390024E-2</v>
      </c>
      <c r="N199" s="1">
        <v>1.813491694390024E-2</v>
      </c>
      <c r="O199" s="1">
        <v>1.9889598708044579E-2</v>
      </c>
      <c r="P199" s="1"/>
    </row>
    <row r="200" spans="1:16" x14ac:dyDescent="0.25">
      <c r="A200" s="2">
        <v>191</v>
      </c>
      <c r="B200" s="1" t="s">
        <v>51</v>
      </c>
      <c r="C200" s="1" t="s">
        <v>32</v>
      </c>
      <c r="D200" s="1">
        <v>3.8407623795496302E-3</v>
      </c>
      <c r="E200" s="1">
        <v>3.7023243862493562E-3</v>
      </c>
      <c r="F200" s="1">
        <v>3.7439759521717352E-3</v>
      </c>
      <c r="G200" s="1">
        <v>3.6702730109863602E-3</v>
      </c>
      <c r="H200" s="1">
        <v>3.647737956947803E-3</v>
      </c>
      <c r="I200" s="1">
        <v>3.4728517734648372E-3</v>
      </c>
      <c r="J200" s="1">
        <v>3.2753786816243501E-3</v>
      </c>
      <c r="K200" s="1">
        <v>3.275378681624308E-3</v>
      </c>
      <c r="L200" s="1">
        <v>3.275378681624308E-3</v>
      </c>
      <c r="M200" s="1">
        <v>3.2753786816243071E-3</v>
      </c>
      <c r="N200" s="1">
        <v>3.275378681624308E-3</v>
      </c>
      <c r="O200" s="1">
        <v>3.4958926243173912E-3</v>
      </c>
      <c r="P200" s="1"/>
    </row>
    <row r="201" spans="1:16" x14ac:dyDescent="0.25">
      <c r="A201" s="2">
        <v>192</v>
      </c>
      <c r="B201" s="1" t="s">
        <v>51</v>
      </c>
      <c r="C201" s="1" t="s">
        <v>33</v>
      </c>
      <c r="D201" s="1">
        <v>8.6346597782301065E-3</v>
      </c>
      <c r="E201" s="1">
        <v>8.7881413106191738E-3</v>
      </c>
      <c r="F201" s="1">
        <v>8.873957434750189E-3</v>
      </c>
      <c r="G201" s="1">
        <v>8.8485417215646307E-3</v>
      </c>
      <c r="H201" s="1">
        <v>8.7376455425897531E-3</v>
      </c>
      <c r="I201" s="1">
        <v>8.670607651418135E-3</v>
      </c>
      <c r="J201" s="1">
        <v>8.5131445289737713E-3</v>
      </c>
      <c r="K201" s="1">
        <v>8.5131445289737193E-3</v>
      </c>
      <c r="L201" s="1">
        <v>8.5131445289737193E-3</v>
      </c>
      <c r="M201" s="1">
        <v>8.5131445289737193E-3</v>
      </c>
      <c r="N201" s="1">
        <v>8.5131445289737193E-3</v>
      </c>
      <c r="O201" s="1">
        <v>8.6472069167309699E-3</v>
      </c>
      <c r="P201" s="1"/>
    </row>
    <row r="202" spans="1:16" x14ac:dyDescent="0.25">
      <c r="A202" s="2">
        <v>193</v>
      </c>
      <c r="B202" s="1" t="s">
        <v>51</v>
      </c>
      <c r="C202" s="1" t="s">
        <v>34</v>
      </c>
      <c r="D202" s="1">
        <v>1.461911282206872E-2</v>
      </c>
      <c r="E202" s="1">
        <v>1.107131380784708E-2</v>
      </c>
      <c r="F202" s="1">
        <v>9.2385476846178986E-3</v>
      </c>
      <c r="G202" s="1">
        <v>1.113678344660368E-2</v>
      </c>
      <c r="H202" s="1">
        <v>1.223742542711209E-2</v>
      </c>
      <c r="I202" s="1">
        <v>1.2132349909800281E-2</v>
      </c>
      <c r="J202" s="1">
        <v>7.3241636394317843E-3</v>
      </c>
      <c r="K202" s="1">
        <v>7.3241636394317166E-3</v>
      </c>
      <c r="L202" s="1">
        <v>7.3241636394317166E-3</v>
      </c>
      <c r="M202" s="1">
        <v>7.3241636394317149E-3</v>
      </c>
      <c r="N202" s="1">
        <v>7.3241636394317158E-3</v>
      </c>
      <c r="O202" s="1">
        <v>9.7323955722916702E-3</v>
      </c>
      <c r="P202" s="1"/>
    </row>
    <row r="203" spans="1:16" x14ac:dyDescent="0.25">
      <c r="A203" s="2">
        <v>194</v>
      </c>
      <c r="B203" s="1" t="s">
        <v>51</v>
      </c>
      <c r="C203" s="1" t="s">
        <v>35</v>
      </c>
      <c r="D203" s="1">
        <v>1.337189177047881E-2</v>
      </c>
      <c r="E203" s="1">
        <v>1.3281599637144131E-2</v>
      </c>
      <c r="F203" s="1">
        <v>1.3072891150096451E-2</v>
      </c>
      <c r="G203" s="1">
        <v>1.3300156295142E-2</v>
      </c>
      <c r="H203" s="1">
        <v>1.33399805862021E-2</v>
      </c>
      <c r="I203" s="1">
        <v>1.244113801359267E-2</v>
      </c>
      <c r="J203" s="1">
        <v>1.260264596443641E-2</v>
      </c>
      <c r="K203" s="1">
        <v>1.2602645964436429E-2</v>
      </c>
      <c r="L203" s="1">
        <v>1.2602645964436429E-2</v>
      </c>
      <c r="M203" s="1">
        <v>1.2602645964436429E-2</v>
      </c>
      <c r="N203" s="1">
        <v>1.2602645964436429E-2</v>
      </c>
      <c r="O203" s="1">
        <v>1.289280793407621E-2</v>
      </c>
      <c r="P203" s="1"/>
    </row>
    <row r="204" spans="1:16" x14ac:dyDescent="0.25">
      <c r="A204" s="2">
        <v>195</v>
      </c>
      <c r="B204" s="1" t="s">
        <v>51</v>
      </c>
      <c r="C204" s="1" t="s">
        <v>36</v>
      </c>
      <c r="D204" s="1">
        <v>6.5199943274375279E-3</v>
      </c>
      <c r="E204" s="1">
        <v>6.5857903402168167E-3</v>
      </c>
      <c r="F204" s="1">
        <v>6.5185399011455534E-3</v>
      </c>
      <c r="G204" s="1">
        <v>6.8483368337608243E-3</v>
      </c>
      <c r="H204" s="1">
        <v>6.4277133734652863E-3</v>
      </c>
      <c r="I204" s="1">
        <v>6.449550867475202E-3</v>
      </c>
      <c r="J204" s="1">
        <v>6.8013291402407826E-3</v>
      </c>
      <c r="K204" s="1">
        <v>6.8013291402407158E-3</v>
      </c>
      <c r="L204" s="1">
        <v>6.8013291402407158E-3</v>
      </c>
      <c r="M204" s="1">
        <v>6.8013291402407141E-3</v>
      </c>
      <c r="N204" s="1">
        <v>6.8013291402407158E-3</v>
      </c>
      <c r="O204" s="1">
        <v>6.6687792131549873E-3</v>
      </c>
      <c r="P204" s="1"/>
    </row>
    <row r="205" spans="1:16" x14ac:dyDescent="0.25">
      <c r="A205" s="2">
        <v>196</v>
      </c>
      <c r="B205" s="1" t="s">
        <v>51</v>
      </c>
      <c r="C205" s="1" t="s">
        <v>37</v>
      </c>
      <c r="D205" s="1">
        <v>1.083973294796307E-2</v>
      </c>
      <c r="E205" s="1">
        <v>1.100510287449529E-2</v>
      </c>
      <c r="F205" s="1">
        <v>1.097737181393057E-2</v>
      </c>
      <c r="G205" s="1">
        <v>1.125651000589846E-2</v>
      </c>
      <c r="H205" s="1">
        <v>1.126427893246512E-2</v>
      </c>
      <c r="I205" s="1">
        <v>1.0994796320493889E-2</v>
      </c>
      <c r="J205" s="1">
        <v>1.149695922359651E-2</v>
      </c>
      <c r="K205" s="1">
        <v>1.1496959223596529E-2</v>
      </c>
      <c r="L205" s="1">
        <v>1.1496959223596529E-2</v>
      </c>
      <c r="M205" s="1">
        <v>1.1496959223596521E-2</v>
      </c>
      <c r="N205" s="1">
        <v>1.1496959223596529E-2</v>
      </c>
      <c r="O205" s="1">
        <v>1.1256599001202639E-2</v>
      </c>
      <c r="P205" s="1"/>
    </row>
    <row r="206" spans="1:16" x14ac:dyDescent="0.25">
      <c r="A206" s="2">
        <v>197</v>
      </c>
      <c r="B206" s="1" t="s">
        <v>51</v>
      </c>
      <c r="C206" s="1" t="s">
        <v>39</v>
      </c>
      <c r="D206" s="1">
        <v>7.8443349296866208E-3</v>
      </c>
      <c r="E206" s="1">
        <v>7.8098492315041663E-3</v>
      </c>
      <c r="F206" s="1">
        <v>7.7145207285772626E-3</v>
      </c>
      <c r="G206" s="1">
        <v>7.6105623910862801E-3</v>
      </c>
      <c r="H206" s="1">
        <v>7.6421895396411683E-3</v>
      </c>
      <c r="I206" s="1">
        <v>7.687176885612353E-3</v>
      </c>
      <c r="J206" s="1">
        <v>7.5236100423929286E-3</v>
      </c>
      <c r="K206" s="1">
        <v>7.5236100423929156E-3</v>
      </c>
      <c r="L206" s="1">
        <v>7.5236100423929182E-3</v>
      </c>
      <c r="M206" s="1">
        <v>7.5236100423929156E-3</v>
      </c>
      <c r="N206" s="1">
        <v>7.5236100423929173E-3</v>
      </c>
      <c r="O206" s="1">
        <v>7.6296985380065853E-3</v>
      </c>
      <c r="P206" s="1"/>
    </row>
    <row r="207" spans="1:16" x14ac:dyDescent="0.25">
      <c r="A207" s="2">
        <v>198</v>
      </c>
      <c r="B207" s="1" t="s">
        <v>51</v>
      </c>
      <c r="C207" s="1" t="s">
        <v>40</v>
      </c>
      <c r="D207" s="1">
        <v>1.456664262284355E-2</v>
      </c>
      <c r="E207" s="1">
        <v>1.3791164871971051E-2</v>
      </c>
      <c r="F207" s="1">
        <v>1.324932408740276E-2</v>
      </c>
      <c r="G207" s="1">
        <v>1.498144808457404E-2</v>
      </c>
      <c r="H207" s="1">
        <v>1.5969728698565621E-2</v>
      </c>
      <c r="I207" s="1">
        <v>1.501741720265014E-2</v>
      </c>
      <c r="J207" s="1">
        <v>1.385679160038367E-2</v>
      </c>
      <c r="K207" s="1">
        <v>1.385679160038363E-2</v>
      </c>
      <c r="L207" s="1">
        <v>1.385679160038363E-2</v>
      </c>
      <c r="M207" s="1">
        <v>1.385679160038363E-2</v>
      </c>
      <c r="N207" s="1">
        <v>1.385679160038363E-2</v>
      </c>
      <c r="O207" s="1">
        <v>1.4259971233629581E-2</v>
      </c>
      <c r="P207" s="1"/>
    </row>
    <row r="208" spans="1:16" x14ac:dyDescent="0.25">
      <c r="A208" s="2">
        <v>199</v>
      </c>
      <c r="B208" s="1" t="s">
        <v>51</v>
      </c>
      <c r="C208" s="1" t="s">
        <v>41</v>
      </c>
      <c r="D208" s="1">
        <v>2.103523060742887E-2</v>
      </c>
      <c r="E208" s="1">
        <v>2.120151533948391E-2</v>
      </c>
      <c r="F208" s="1">
        <v>2.0982991477182879E-2</v>
      </c>
      <c r="G208" s="1">
        <v>2.1737558577141401E-2</v>
      </c>
      <c r="H208" s="1">
        <v>2.2969704840404521E-2</v>
      </c>
      <c r="I208" s="1">
        <v>2.2272147534360302E-2</v>
      </c>
      <c r="J208" s="1">
        <v>2.203735695465012E-2</v>
      </c>
      <c r="K208" s="1">
        <v>2.2037356954650152E-2</v>
      </c>
      <c r="L208" s="1">
        <v>2.2037356954650152E-2</v>
      </c>
      <c r="M208" s="1">
        <v>2.2037356954650141E-2</v>
      </c>
      <c r="N208" s="1">
        <v>2.2037356954650152E-2</v>
      </c>
      <c r="O208" s="1">
        <v>2.1853266649932049E-2</v>
      </c>
      <c r="P208" s="1"/>
    </row>
    <row r="209" spans="1:16" x14ac:dyDescent="0.25">
      <c r="A209" s="2">
        <v>200</v>
      </c>
      <c r="B209" s="1" t="s">
        <v>51</v>
      </c>
      <c r="C209" s="1" t="s">
        <v>19</v>
      </c>
      <c r="D209" s="1">
        <v>5.5548557967777393E-3</v>
      </c>
      <c r="E209" s="1">
        <v>5.6102065662335266E-3</v>
      </c>
      <c r="F209" s="1">
        <v>5.633184104413505E-3</v>
      </c>
      <c r="G209" s="1">
        <v>5.6043879437434078E-3</v>
      </c>
      <c r="H209" s="1">
        <v>5.5818312233711382E-3</v>
      </c>
      <c r="I209" s="1">
        <v>5.6655272180949701E-3</v>
      </c>
      <c r="J209" s="1">
        <v>5.9443759606974773E-3</v>
      </c>
      <c r="K209" s="1">
        <v>5.944375960697414E-3</v>
      </c>
      <c r="L209" s="1">
        <v>5.944375960697414E-3</v>
      </c>
      <c r="M209" s="1">
        <v>5.9443759606974123E-3</v>
      </c>
      <c r="N209" s="1">
        <v>5.9443759606974131E-3</v>
      </c>
      <c r="O209" s="1">
        <v>5.7610793323746743E-3</v>
      </c>
      <c r="P209" s="1"/>
    </row>
    <row r="210" spans="1:16" x14ac:dyDescent="0.25">
      <c r="A210" s="2">
        <v>201</v>
      </c>
      <c r="B210" s="1" t="s">
        <v>51</v>
      </c>
      <c r="C210" s="1" t="s">
        <v>42</v>
      </c>
      <c r="D210" s="1">
        <v>1.0409232426623271E-2</v>
      </c>
      <c r="E210" s="1">
        <v>1.030462588494464E-2</v>
      </c>
      <c r="F210" s="1">
        <v>1.0280267881173271E-2</v>
      </c>
      <c r="G210" s="1">
        <v>1.003563446960508E-2</v>
      </c>
      <c r="H210" s="1">
        <v>9.6945534982622057E-3</v>
      </c>
      <c r="I210" s="1">
        <v>9.5942162822962498E-3</v>
      </c>
      <c r="J210" s="1">
        <v>9.6363402743132511E-3</v>
      </c>
      <c r="K210" s="1">
        <v>9.6363402743132216E-3</v>
      </c>
      <c r="L210" s="1">
        <v>9.6363402743132234E-3</v>
      </c>
      <c r="M210" s="1">
        <v>9.6363402743132216E-3</v>
      </c>
      <c r="N210" s="1">
        <v>9.6363402743132216E-3</v>
      </c>
      <c r="O210" s="1">
        <v>9.8636574376791668E-3</v>
      </c>
      <c r="P210" s="1"/>
    </row>
    <row r="211" spans="1:16" x14ac:dyDescent="0.25">
      <c r="A211" s="2">
        <v>202</v>
      </c>
      <c r="B211" s="1" t="s">
        <v>51</v>
      </c>
      <c r="C211" s="1" t="s">
        <v>43</v>
      </c>
      <c r="D211" s="1">
        <v>3.0170685718661581E-2</v>
      </c>
      <c r="E211" s="1">
        <v>3.0018165125173829E-2</v>
      </c>
      <c r="F211" s="1">
        <v>3.0276662635782329E-2</v>
      </c>
      <c r="G211" s="1">
        <v>3.1557573450511391E-2</v>
      </c>
      <c r="H211" s="1">
        <v>3.1948409412206953E-2</v>
      </c>
      <c r="I211" s="1">
        <v>3.1519365056495788E-2</v>
      </c>
      <c r="J211" s="1">
        <v>3.00450840781477E-2</v>
      </c>
      <c r="K211" s="1">
        <v>3.0045084078147669E-2</v>
      </c>
      <c r="L211" s="1">
        <v>3.0045084078147669E-2</v>
      </c>
      <c r="M211" s="1">
        <v>3.0045084078147662E-2</v>
      </c>
      <c r="N211" s="1">
        <v>3.0045084078147669E-2</v>
      </c>
      <c r="O211" s="1">
        <v>3.0519661980870021E-2</v>
      </c>
      <c r="P211" s="1"/>
    </row>
    <row r="212" spans="1:16" x14ac:dyDescent="0.25">
      <c r="A212" s="2">
        <v>203</v>
      </c>
      <c r="B212" s="1" t="s">
        <v>51</v>
      </c>
      <c r="C212" s="1" t="s">
        <v>45</v>
      </c>
      <c r="D212" s="1">
        <v>1.363576829649797E-2</v>
      </c>
      <c r="E212" s="1">
        <v>1.5457057612729761E-2</v>
      </c>
      <c r="F212" s="1">
        <v>1.6772947970768299E-2</v>
      </c>
      <c r="G212" s="1">
        <v>1.7498276988367499E-2</v>
      </c>
      <c r="H212" s="1">
        <v>1.6626702511922942E-2</v>
      </c>
      <c r="I212" s="1">
        <v>1.5270722825844031E-2</v>
      </c>
      <c r="J212" s="1">
        <v>1.429086325917849E-2</v>
      </c>
      <c r="K212" s="1">
        <v>1.429086325917843E-2</v>
      </c>
      <c r="L212" s="1">
        <v>1.429086325917843E-2</v>
      </c>
      <c r="M212" s="1">
        <v>1.429086325917843E-2</v>
      </c>
      <c r="N212" s="1">
        <v>1.429086325917843E-2</v>
      </c>
      <c r="O212" s="1">
        <v>1.515598113654752E-2</v>
      </c>
      <c r="P212" s="1"/>
    </row>
    <row r="213" spans="1:16" x14ac:dyDescent="0.25">
      <c r="A213" s="2">
        <v>204</v>
      </c>
      <c r="B213" s="1" t="s">
        <v>51</v>
      </c>
      <c r="C213" s="1" t="s">
        <v>46</v>
      </c>
      <c r="D213" s="1">
        <v>6.4488163142575527E-3</v>
      </c>
      <c r="E213" s="1">
        <v>6.6769699463180669E-3</v>
      </c>
      <c r="F213" s="1">
        <v>6.4475081518682916E-3</v>
      </c>
      <c r="G213" s="1">
        <v>6.9256728129579604E-3</v>
      </c>
      <c r="H213" s="1">
        <v>7.0062425523918764E-3</v>
      </c>
      <c r="I213" s="1">
        <v>7.3953134337037506E-3</v>
      </c>
      <c r="J213" s="1">
        <v>7.6061229494244348E-3</v>
      </c>
      <c r="K213" s="1">
        <v>7.6061229494244166E-3</v>
      </c>
      <c r="L213" s="1">
        <v>7.6061229494244166E-3</v>
      </c>
      <c r="M213" s="1">
        <v>7.6061229494244157E-3</v>
      </c>
      <c r="N213" s="1">
        <v>7.6061229494244166E-3</v>
      </c>
      <c r="O213" s="1">
        <v>7.1755579962381466E-3</v>
      </c>
      <c r="P213" s="1"/>
    </row>
    <row r="214" spans="1:16" x14ac:dyDescent="0.25">
      <c r="A214" s="2">
        <v>205</v>
      </c>
      <c r="B214" s="1" t="s">
        <v>51</v>
      </c>
      <c r="C214" s="1" t="s">
        <v>47</v>
      </c>
      <c r="D214" s="1">
        <v>1.5419494124251001E-2</v>
      </c>
      <c r="E214" s="1">
        <v>1.582253626313665E-2</v>
      </c>
      <c r="F214" s="1">
        <v>1.6008877999507669E-2</v>
      </c>
      <c r="G214" s="1">
        <v>1.595866721690951E-2</v>
      </c>
      <c r="H214" s="1">
        <v>1.5847481646183138E-2</v>
      </c>
      <c r="I214" s="1">
        <v>1.608577500367786E-2</v>
      </c>
      <c r="J214" s="1">
        <v>1.546752810356066E-2</v>
      </c>
      <c r="K214" s="1">
        <v>1.546752810356064E-2</v>
      </c>
      <c r="L214" s="1">
        <v>1.546752810356064E-2</v>
      </c>
      <c r="M214" s="1">
        <v>1.546752810356063E-2</v>
      </c>
      <c r="N214" s="1">
        <v>1.546752810356064E-2</v>
      </c>
      <c r="O214" s="1">
        <v>1.568004297922446E-2</v>
      </c>
      <c r="P214" s="1"/>
    </row>
    <row r="215" spans="1:16" x14ac:dyDescent="0.25">
      <c r="A215" s="2">
        <v>206</v>
      </c>
      <c r="B215" s="1" t="s">
        <v>51</v>
      </c>
      <c r="C215" s="1" t="s">
        <v>48</v>
      </c>
      <c r="D215" s="1">
        <v>2.3004167807886809E-2</v>
      </c>
      <c r="E215" s="1">
        <v>2.252164779175966E-2</v>
      </c>
      <c r="F215" s="1">
        <v>2.159521187860752E-2</v>
      </c>
      <c r="G215" s="1">
        <v>2.1480711011655221E-2</v>
      </c>
      <c r="H215" s="1">
        <v>2.137347727784961E-2</v>
      </c>
      <c r="I215" s="1">
        <v>2.2670874974124809E-2</v>
      </c>
      <c r="J215" s="1">
        <v>2.2742450540049391E-2</v>
      </c>
      <c r="K215" s="1">
        <v>2.274245054004935E-2</v>
      </c>
      <c r="L215" s="1">
        <v>2.274245054004936E-2</v>
      </c>
      <c r="M215" s="1">
        <v>2.274245054004935E-2</v>
      </c>
      <c r="N215" s="1">
        <v>2.274245054004935E-2</v>
      </c>
      <c r="O215" s="1">
        <v>2.239621304019368E-2</v>
      </c>
      <c r="P215" s="1"/>
    </row>
    <row r="216" spans="1:16" x14ac:dyDescent="0.25">
      <c r="A216" s="2">
        <v>207</v>
      </c>
      <c r="B216" s="1" t="s">
        <v>51</v>
      </c>
      <c r="C216" s="1" t="s">
        <v>49</v>
      </c>
      <c r="D216" s="1">
        <v>9.8550836928783143E-3</v>
      </c>
      <c r="E216" s="1">
        <v>9.8450930238668678E-3</v>
      </c>
      <c r="F216" s="1">
        <v>1.0111304505521401E-2</v>
      </c>
      <c r="G216" s="1">
        <v>1.034265316470051E-2</v>
      </c>
      <c r="H216" s="1">
        <v>1.069888631519612E-2</v>
      </c>
      <c r="I216" s="1">
        <v>1.085610096813348E-2</v>
      </c>
      <c r="J216" s="1">
        <v>1.1745807673374071E-2</v>
      </c>
      <c r="K216" s="1">
        <v>1.1745807673374031E-2</v>
      </c>
      <c r="L216" s="1">
        <v>1.1745807673374031E-2</v>
      </c>
      <c r="M216" s="1">
        <v>1.174580767337402E-2</v>
      </c>
      <c r="N216" s="1">
        <v>1.1745807673374031E-2</v>
      </c>
      <c r="O216" s="1">
        <v>1.0948923639742441E-2</v>
      </c>
      <c r="P216" s="1"/>
    </row>
    <row r="217" spans="1:16" x14ac:dyDescent="0.25">
      <c r="A217" s="2">
        <v>208</v>
      </c>
      <c r="B217" s="1" t="s">
        <v>51</v>
      </c>
      <c r="C217" s="1" t="s">
        <v>50</v>
      </c>
      <c r="D217" s="1">
        <v>5.122454384899823E-2</v>
      </c>
      <c r="E217" s="1">
        <v>4.9219312040131573E-2</v>
      </c>
      <c r="F217" s="1">
        <v>4.8200466771962283E-2</v>
      </c>
      <c r="G217" s="1">
        <v>4.6533722712573222E-2</v>
      </c>
      <c r="H217" s="1">
        <v>4.6044044163996087E-2</v>
      </c>
      <c r="I217" s="1">
        <v>4.6920516193203143E-2</v>
      </c>
      <c r="J217" s="1">
        <v>4.7970467410457747E-2</v>
      </c>
      <c r="K217" s="1">
        <v>4.7970467410457809E-2</v>
      </c>
      <c r="L217" s="1">
        <v>4.7970467410457823E-2</v>
      </c>
      <c r="M217" s="1">
        <v>4.7970467410457802E-2</v>
      </c>
      <c r="N217" s="1">
        <v>4.7970467410457809E-2</v>
      </c>
      <c r="O217" s="1">
        <v>4.7999540253013957E-2</v>
      </c>
      <c r="P217" s="1"/>
    </row>
    <row r="218" spans="1:16" x14ac:dyDescent="0.25">
      <c r="A218" s="2">
        <v>209</v>
      </c>
      <c r="B218" s="1" t="s">
        <v>51</v>
      </c>
      <c r="C218" s="1" t="s">
        <v>21</v>
      </c>
      <c r="D218" s="1">
        <v>8.6865318091550056E-2</v>
      </c>
      <c r="E218" s="1">
        <v>8.7522919032177196E-2</v>
      </c>
      <c r="F218" s="1">
        <v>8.7696932274666378E-2</v>
      </c>
      <c r="G218" s="1">
        <v>8.8626540286097968E-2</v>
      </c>
      <c r="H218" s="1">
        <v>8.8023394654914183E-2</v>
      </c>
      <c r="I218" s="1">
        <v>9.0613783349701063E-2</v>
      </c>
      <c r="J218" s="1">
        <v>9.2109610779885054E-2</v>
      </c>
      <c r="K218" s="1">
        <v>9.2109610779885207E-2</v>
      </c>
      <c r="L218" s="1">
        <v>9.2109610779885193E-2</v>
      </c>
      <c r="M218" s="1">
        <v>9.2109610779885193E-2</v>
      </c>
      <c r="N218" s="1">
        <v>9.210961077988522E-2</v>
      </c>
      <c r="O218" s="1">
        <v>8.9990631053502981E-2</v>
      </c>
      <c r="P218" s="1"/>
    </row>
    <row r="219" spans="1:16" x14ac:dyDescent="0.25">
      <c r="A219" s="2">
        <v>210</v>
      </c>
      <c r="B219" s="1" t="s">
        <v>51</v>
      </c>
      <c r="C219" s="1" t="s">
        <v>52</v>
      </c>
      <c r="D219" s="1">
        <v>2.3790698904458771E-2</v>
      </c>
      <c r="E219" s="1">
        <v>2.3960256715016889E-2</v>
      </c>
      <c r="F219" s="1">
        <v>2.417972748675299E-2</v>
      </c>
      <c r="G219" s="1">
        <v>2.387837230367628E-2</v>
      </c>
      <c r="H219" s="1">
        <v>2.3547713553338331E-2</v>
      </c>
      <c r="I219" s="1">
        <v>2.3639507518668109E-2</v>
      </c>
      <c r="J219" s="1">
        <v>2.322898027925438E-2</v>
      </c>
      <c r="K219" s="1">
        <v>2.3228980279254359E-2</v>
      </c>
      <c r="L219" s="1">
        <v>2.3228980279254349E-2</v>
      </c>
      <c r="M219" s="1">
        <v>2.3228980279254349E-2</v>
      </c>
      <c r="N219" s="1">
        <v>2.3228980279254359E-2</v>
      </c>
      <c r="O219" s="1">
        <v>2.3558288898016651E-2</v>
      </c>
      <c r="P219" s="1"/>
    </row>
    <row r="220" spans="1:16" x14ac:dyDescent="0.25">
      <c r="A220" s="2">
        <v>211</v>
      </c>
      <c r="B220" s="1" t="s">
        <v>51</v>
      </c>
      <c r="C220" s="1" t="s">
        <v>53</v>
      </c>
      <c r="D220" s="1">
        <v>3.1983135668484691E-3</v>
      </c>
      <c r="E220" s="1">
        <v>3.238396468598176E-3</v>
      </c>
      <c r="F220" s="1">
        <v>3.0241087666510358E-3</v>
      </c>
      <c r="G220" s="1">
        <v>3.1252991766613559E-3</v>
      </c>
      <c r="H220" s="1">
        <v>3.0804300248253951E-3</v>
      </c>
      <c r="I220" s="1">
        <v>3.1053481465987309E-3</v>
      </c>
      <c r="J220" s="1">
        <v>2.1604778846107892E-3</v>
      </c>
      <c r="K220" s="1">
        <v>2.1604778846107042E-3</v>
      </c>
      <c r="L220" s="1">
        <v>2.1604778846107051E-3</v>
      </c>
      <c r="M220" s="1">
        <v>2.1604778846107051E-3</v>
      </c>
      <c r="N220" s="1">
        <v>2.1604778846107051E-3</v>
      </c>
      <c r="O220" s="1">
        <v>2.6885714157487972E-3</v>
      </c>
      <c r="P220" s="1"/>
    </row>
    <row r="221" spans="1:16" x14ac:dyDescent="0.25">
      <c r="A221" s="2">
        <v>212</v>
      </c>
      <c r="B221" s="1" t="s">
        <v>51</v>
      </c>
      <c r="C221" s="1" t="s">
        <v>54</v>
      </c>
      <c r="D221" s="1">
        <v>3.1485732632218532E-3</v>
      </c>
      <c r="E221" s="1">
        <v>3.1588340660882522E-3</v>
      </c>
      <c r="F221" s="1">
        <v>2.6732284717187029E-3</v>
      </c>
      <c r="G221" s="1">
        <v>2.7339017635867511E-3</v>
      </c>
      <c r="H221" s="1">
        <v>2.5324001530752939E-3</v>
      </c>
      <c r="I221" s="1">
        <v>2.6567146820487158E-3</v>
      </c>
      <c r="J221" s="1">
        <v>1.4811422966446309E-3</v>
      </c>
      <c r="K221" s="1">
        <v>1.4811422966446029E-3</v>
      </c>
      <c r="L221" s="1">
        <v>1.4811422966446029E-3</v>
      </c>
      <c r="M221" s="1">
        <v>1.4811422966446029E-3</v>
      </c>
      <c r="N221" s="1">
        <v>1.4811422966446029E-3</v>
      </c>
      <c r="O221" s="1">
        <v>2.209942171178419E-3</v>
      </c>
      <c r="P221" s="1"/>
    </row>
    <row r="222" spans="1:16" x14ac:dyDescent="0.25">
      <c r="A222" s="2">
        <v>213</v>
      </c>
      <c r="B222" s="1" t="s">
        <v>51</v>
      </c>
      <c r="C222" s="1" t="s">
        <v>55</v>
      </c>
      <c r="D222" s="1">
        <v>1.7540362058425581E-2</v>
      </c>
      <c r="E222" s="1">
        <v>1.7672308668101631E-2</v>
      </c>
      <c r="F222" s="1">
        <v>1.757337296046101E-2</v>
      </c>
      <c r="G222" s="1">
        <v>1.768181299681771E-2</v>
      </c>
      <c r="H222" s="1">
        <v>1.7945459244410791E-2</v>
      </c>
      <c r="I222" s="1">
        <v>1.8130902201116069E-2</v>
      </c>
      <c r="J222" s="1">
        <v>1.7690597232603029E-2</v>
      </c>
      <c r="K222" s="1">
        <v>1.769059723260304E-2</v>
      </c>
      <c r="L222" s="1">
        <v>1.769059723260304E-2</v>
      </c>
      <c r="M222" s="1">
        <v>1.769059723260304E-2</v>
      </c>
      <c r="N222" s="1">
        <v>1.769059723260304E-2</v>
      </c>
      <c r="O222" s="1">
        <v>1.7727018572031641E-2</v>
      </c>
      <c r="P222" s="1"/>
    </row>
    <row r="223" spans="1:16" x14ac:dyDescent="0.25">
      <c r="A223" s="2">
        <v>214</v>
      </c>
      <c r="B223" s="1" t="s">
        <v>51</v>
      </c>
      <c r="C223" s="1" t="s">
        <v>56</v>
      </c>
      <c r="D223" s="1">
        <v>1.7360128730635679E-3</v>
      </c>
      <c r="E223" s="1">
        <v>1.788075313499386E-3</v>
      </c>
      <c r="F223" s="1">
        <v>1.7951058581077339E-3</v>
      </c>
      <c r="G223" s="1">
        <v>1.795764242016407E-3</v>
      </c>
      <c r="H223" s="1">
        <v>1.7027357233159481E-3</v>
      </c>
      <c r="I223" s="1">
        <v>1.7329107667257871E-3</v>
      </c>
      <c r="J223" s="1">
        <v>2.1258275187507189E-3</v>
      </c>
      <c r="K223" s="1">
        <v>2.125827518750705E-3</v>
      </c>
      <c r="L223" s="1">
        <v>2.125827518750705E-3</v>
      </c>
      <c r="M223" s="1">
        <v>2.125827518750705E-3</v>
      </c>
      <c r="N223" s="1">
        <v>2.125827518750705E-3</v>
      </c>
      <c r="O223" s="1">
        <v>1.925431124589307E-3</v>
      </c>
      <c r="P223" s="1"/>
    </row>
    <row r="224" spans="1:16" x14ac:dyDescent="0.25">
      <c r="A224" s="2">
        <v>215</v>
      </c>
      <c r="B224" s="1" t="s">
        <v>51</v>
      </c>
      <c r="C224" s="1" t="s">
        <v>58</v>
      </c>
      <c r="D224" s="1">
        <v>0.16900131285898251</v>
      </c>
      <c r="E224" s="1">
        <v>0.1702391191109271</v>
      </c>
      <c r="F224" s="1">
        <v>0.17309933812592379</v>
      </c>
      <c r="G224" s="1">
        <v>0.1712982101740165</v>
      </c>
      <c r="H224" s="1">
        <v>0.17235064801555269</v>
      </c>
      <c r="I224" s="1">
        <v>0.1736968994471714</v>
      </c>
      <c r="J224" s="1">
        <v>0.1768555362828852</v>
      </c>
      <c r="K224" s="1">
        <v>0.17685553628288561</v>
      </c>
      <c r="L224" s="1">
        <v>0.17685553628288561</v>
      </c>
      <c r="M224" s="1">
        <v>0.17685553628288561</v>
      </c>
      <c r="N224" s="1">
        <v>0.17685553628288561</v>
      </c>
      <c r="O224" s="1">
        <v>0.17399665537700021</v>
      </c>
      <c r="P224" s="1"/>
    </row>
    <row r="225" spans="1:16" x14ac:dyDescent="0.25">
      <c r="A225" s="2">
        <v>216</v>
      </c>
      <c r="B225" s="1" t="s">
        <v>51</v>
      </c>
      <c r="C225" s="1" t="s">
        <v>59</v>
      </c>
      <c r="D225" s="1">
        <v>2.7113062138947468E-2</v>
      </c>
      <c r="E225" s="1">
        <v>2.7589052992646291E-2</v>
      </c>
      <c r="F225" s="1">
        <v>2.8498552394223799E-2</v>
      </c>
      <c r="G225" s="1">
        <v>2.9064354490063459E-2</v>
      </c>
      <c r="H225" s="1">
        <v>2.94609358836278E-2</v>
      </c>
      <c r="I225" s="1">
        <v>2.9745943616607162E-2</v>
      </c>
      <c r="J225" s="1">
        <v>2.1083460874865671E-2</v>
      </c>
      <c r="K225" s="1">
        <v>2.108346087486564E-2</v>
      </c>
      <c r="L225" s="1">
        <v>2.108346087486565E-2</v>
      </c>
      <c r="M225" s="1">
        <v>2.108346087486564E-2</v>
      </c>
      <c r="N225" s="1">
        <v>2.108346087486564E-2</v>
      </c>
      <c r="O225" s="1">
        <v>2.5171745990040378E-2</v>
      </c>
      <c r="P225" s="1"/>
    </row>
    <row r="226" spans="1:16" x14ac:dyDescent="0.25">
      <c r="A226" s="2">
        <v>217</v>
      </c>
      <c r="B226" s="1" t="s">
        <v>51</v>
      </c>
      <c r="C226" s="1" t="s">
        <v>23</v>
      </c>
      <c r="D226" s="1">
        <v>6.2918473173406283E-3</v>
      </c>
      <c r="E226" s="1">
        <v>6.3170266914874124E-3</v>
      </c>
      <c r="F226" s="1">
        <v>6.4774809498994289E-3</v>
      </c>
      <c r="G226" s="1">
        <v>6.0826681596974786E-3</v>
      </c>
      <c r="H226" s="1">
        <v>5.9672675189789996E-3</v>
      </c>
      <c r="I226" s="1">
        <v>5.7930479605577496E-3</v>
      </c>
      <c r="J226" s="1">
        <v>5.5604646126934673E-3</v>
      </c>
      <c r="K226" s="1">
        <v>5.5604646126934118E-3</v>
      </c>
      <c r="L226" s="1">
        <v>5.5604646126934127E-3</v>
      </c>
      <c r="M226" s="1">
        <v>5.560464612693411E-3</v>
      </c>
      <c r="N226" s="1">
        <v>5.5604646126934118E-3</v>
      </c>
      <c r="O226" s="1">
        <v>5.8846965146753466E-3</v>
      </c>
      <c r="P226" s="1"/>
    </row>
    <row r="227" spans="1:16" x14ac:dyDescent="0.25">
      <c r="A227" s="2">
        <v>218</v>
      </c>
      <c r="B227" s="1" t="s">
        <v>51</v>
      </c>
      <c r="C227" s="1" t="s">
        <v>25</v>
      </c>
      <c r="D227" s="1">
        <v>1.0246562765368179E-2</v>
      </c>
      <c r="E227" s="1">
        <v>1.031066017883462E-2</v>
      </c>
      <c r="F227" s="1">
        <v>1.015323805734099E-2</v>
      </c>
      <c r="G227" s="1">
        <v>9.8751494569780107E-3</v>
      </c>
      <c r="H227" s="1">
        <v>9.4319888142281576E-3</v>
      </c>
      <c r="I227" s="1">
        <v>9.2970367538344097E-3</v>
      </c>
      <c r="J227" s="1">
        <v>9.6969324591759855E-3</v>
      </c>
      <c r="K227" s="1">
        <v>9.6969324591759214E-3</v>
      </c>
      <c r="L227" s="1">
        <v>9.6969324591759231E-3</v>
      </c>
      <c r="M227" s="1">
        <v>9.6969324591759231E-3</v>
      </c>
      <c r="N227" s="1">
        <v>9.6969324591759214E-3</v>
      </c>
      <c r="O227" s="1">
        <v>9.7999362111330941E-3</v>
      </c>
      <c r="P227" s="1"/>
    </row>
    <row r="228" spans="1:16" x14ac:dyDescent="0.25">
      <c r="A228" s="2">
        <v>219</v>
      </c>
      <c r="B228" s="1" t="s">
        <v>51</v>
      </c>
      <c r="C228" s="1" t="s">
        <v>27</v>
      </c>
      <c r="D228" s="1">
        <v>1.3854039507811869E-2</v>
      </c>
      <c r="E228" s="1">
        <v>1.437375931710419E-2</v>
      </c>
      <c r="F228" s="1">
        <v>1.5089932813183949E-2</v>
      </c>
      <c r="G228" s="1">
        <v>1.5432585808841111E-2</v>
      </c>
      <c r="H228" s="1">
        <v>1.556774158438758E-2</v>
      </c>
      <c r="I228" s="1">
        <v>1.5585998712858529E-2</v>
      </c>
      <c r="J228" s="1">
        <v>1.681514700762381E-2</v>
      </c>
      <c r="K228" s="1">
        <v>1.6815147007623842E-2</v>
      </c>
      <c r="L228" s="1">
        <v>1.6815147007623842E-2</v>
      </c>
      <c r="M228" s="1">
        <v>1.6815147007623831E-2</v>
      </c>
      <c r="N228" s="1">
        <v>1.6815147007623842E-2</v>
      </c>
      <c r="O228" s="1">
        <v>1.5816344798391491E-2</v>
      </c>
      <c r="P228" s="1"/>
    </row>
    <row r="229" spans="1:16" x14ac:dyDescent="0.25">
      <c r="A229" s="2">
        <v>220</v>
      </c>
      <c r="B229" s="1" t="s">
        <v>51</v>
      </c>
      <c r="C229" s="1" t="s">
        <v>60</v>
      </c>
      <c r="D229" s="1">
        <v>3.8639403975470693E-2</v>
      </c>
      <c r="E229" s="1">
        <v>3.798721043288552E-2</v>
      </c>
      <c r="F229" s="1">
        <v>3.6838814376334392E-2</v>
      </c>
      <c r="G229" s="1">
        <v>3.5267732956695122E-2</v>
      </c>
      <c r="H229" s="1">
        <v>3.3932488232576177E-2</v>
      </c>
      <c r="I229" s="1">
        <v>3.3382422056553507E-2</v>
      </c>
      <c r="J229" s="1">
        <v>3.6619278691513941E-2</v>
      </c>
      <c r="K229" s="1">
        <v>3.6619278691513983E-2</v>
      </c>
      <c r="L229" s="1">
        <v>3.661927869151399E-2</v>
      </c>
      <c r="M229" s="1">
        <v>3.6619278691513983E-2</v>
      </c>
      <c r="N229" s="1">
        <v>3.661927869151399E-2</v>
      </c>
      <c r="O229" s="1">
        <v>3.6285860498916848E-2</v>
      </c>
      <c r="P229" s="1"/>
    </row>
    <row r="230" spans="1:16" x14ac:dyDescent="0.25">
      <c r="A230" s="2">
        <v>221</v>
      </c>
      <c r="B230" s="1" t="s">
        <v>51</v>
      </c>
      <c r="C230" s="1" t="s">
        <v>62</v>
      </c>
      <c r="D230" s="1">
        <v>6.2107955126538182E-2</v>
      </c>
      <c r="E230" s="1">
        <v>6.31239881570093E-2</v>
      </c>
      <c r="F230" s="1">
        <v>6.3387598438067391E-2</v>
      </c>
      <c r="G230" s="1">
        <v>6.2117649152575193E-2</v>
      </c>
      <c r="H230" s="1">
        <v>6.1272275371978088E-2</v>
      </c>
      <c r="I230" s="1">
        <v>5.9953951927913127E-2</v>
      </c>
      <c r="J230" s="1">
        <v>6.3382550333103055E-2</v>
      </c>
      <c r="K230" s="1">
        <v>6.3382550333103138E-2</v>
      </c>
      <c r="L230" s="1">
        <v>6.3382550333103152E-2</v>
      </c>
      <c r="M230" s="1">
        <v>6.3382550333103152E-2</v>
      </c>
      <c r="N230" s="1">
        <v>6.3382550333103138E-2</v>
      </c>
      <c r="O230" s="1">
        <v>6.2625106349054258E-2</v>
      </c>
      <c r="P230" s="1"/>
    </row>
    <row r="231" spans="1:16" x14ac:dyDescent="0.25">
      <c r="A231" s="2">
        <v>222</v>
      </c>
      <c r="B231" s="1" t="s">
        <v>51</v>
      </c>
      <c r="C231" s="1" t="s">
        <v>29</v>
      </c>
      <c r="D231" s="1">
        <v>4.1846188247779373E-2</v>
      </c>
      <c r="E231" s="1">
        <v>4.298101625396452E-2</v>
      </c>
      <c r="F231" s="1">
        <v>4.3345771729344881E-2</v>
      </c>
      <c r="G231" s="1">
        <v>4.297427781632529E-2</v>
      </c>
      <c r="H231" s="1">
        <v>4.3695805697803541E-2</v>
      </c>
      <c r="I231" s="1">
        <v>4.3985217401493103E-2</v>
      </c>
      <c r="J231" s="1">
        <v>4.7089249783733918E-2</v>
      </c>
      <c r="K231" s="1">
        <v>4.7089249783733987E-2</v>
      </c>
      <c r="L231" s="1">
        <v>4.7089249783734008E-2</v>
      </c>
      <c r="M231" s="1">
        <v>4.7089249783733987E-2</v>
      </c>
      <c r="N231" s="1">
        <v>4.7089249783734001E-2</v>
      </c>
      <c r="O231" s="1">
        <v>4.4934047824125523E-2</v>
      </c>
      <c r="P231" s="1"/>
    </row>
    <row r="232" spans="1:16" x14ac:dyDescent="0.25">
      <c r="A232" s="2">
        <v>223</v>
      </c>
      <c r="B232" s="1" t="s">
        <v>51</v>
      </c>
      <c r="C232" s="1" t="s">
        <v>63</v>
      </c>
      <c r="D232" s="1">
        <v>2.661891089008547E-2</v>
      </c>
      <c r="E232" s="1">
        <v>2.695093829231289E-2</v>
      </c>
      <c r="F232" s="1">
        <v>2.6545309297292478E-2</v>
      </c>
      <c r="G232" s="1">
        <v>2.7346440458964779E-2</v>
      </c>
      <c r="H232" s="1">
        <v>2.8223288571453672E-2</v>
      </c>
      <c r="I232" s="1">
        <v>2.865493281998116E-2</v>
      </c>
      <c r="J232" s="1">
        <v>2.5846645385030821E-2</v>
      </c>
      <c r="K232" s="1">
        <v>2.5846645385030859E-2</v>
      </c>
      <c r="L232" s="1">
        <v>2.5846645385030859E-2</v>
      </c>
      <c r="M232" s="1">
        <v>2.5846645385030849E-2</v>
      </c>
      <c r="N232" s="1">
        <v>2.5846645385030859E-2</v>
      </c>
      <c r="O232" s="1">
        <v>2.6688458841385879E-2</v>
      </c>
      <c r="P232" s="1"/>
    </row>
    <row r="233" spans="1:16" x14ac:dyDescent="0.25">
      <c r="A233" s="2">
        <v>224</v>
      </c>
      <c r="B233" s="1" t="s">
        <v>51</v>
      </c>
      <c r="C233" s="1" t="s">
        <v>64</v>
      </c>
      <c r="D233" s="1">
        <v>3.8462743599273007E-2</v>
      </c>
      <c r="E233" s="1">
        <v>3.7560296018701193E-2</v>
      </c>
      <c r="F233" s="1">
        <v>3.7980711795331357E-2</v>
      </c>
      <c r="G233" s="1">
        <v>3.7051468648029807E-2</v>
      </c>
      <c r="H233" s="1">
        <v>3.6876889265530469E-2</v>
      </c>
      <c r="I233" s="1">
        <v>3.6273282787932813E-2</v>
      </c>
      <c r="J233" s="1">
        <v>3.91165866246279E-2</v>
      </c>
      <c r="K233" s="1">
        <v>3.9116586624627997E-2</v>
      </c>
      <c r="L233" s="1">
        <v>3.9116586624627997E-2</v>
      </c>
      <c r="M233" s="1">
        <v>3.9116586624627983E-2</v>
      </c>
      <c r="N233" s="1">
        <v>3.9116586624627983E-2</v>
      </c>
      <c r="O233" s="1">
        <v>3.8162575021630778E-2</v>
      </c>
      <c r="P233" s="1"/>
    </row>
    <row r="234" spans="1:16" x14ac:dyDescent="0.25">
      <c r="A234" s="2">
        <v>225</v>
      </c>
      <c r="B234" s="1" t="s">
        <v>51</v>
      </c>
      <c r="C234" s="1" t="s">
        <v>65</v>
      </c>
      <c r="D234" s="1">
        <v>2.017991015632567E-2</v>
      </c>
      <c r="E234" s="1">
        <v>1.9790915992983681E-2</v>
      </c>
      <c r="F234" s="1">
        <v>1.9651376647304271E-2</v>
      </c>
      <c r="G234" s="1">
        <v>1.9362053964907661E-2</v>
      </c>
      <c r="H234" s="1">
        <v>1.951139568618632E-2</v>
      </c>
      <c r="I234" s="1">
        <v>1.9538881349944949E-2</v>
      </c>
      <c r="J234" s="1">
        <v>2.010959717708892E-2</v>
      </c>
      <c r="K234" s="1">
        <v>2.0109597177088941E-2</v>
      </c>
      <c r="L234" s="1">
        <v>2.0109597177088941E-2</v>
      </c>
      <c r="M234" s="1">
        <v>2.0109597177088941E-2</v>
      </c>
      <c r="N234" s="1">
        <v>2.0109597177088941E-2</v>
      </c>
      <c r="O234" s="1">
        <v>1.9871138153008842E-2</v>
      </c>
      <c r="P234" s="1"/>
    </row>
    <row r="235" spans="1:16" x14ac:dyDescent="0.25">
      <c r="A235" s="2">
        <v>226</v>
      </c>
      <c r="B235" s="1" t="s">
        <v>51</v>
      </c>
      <c r="C235" s="1" t="s">
        <v>66</v>
      </c>
      <c r="D235" s="1">
        <v>4.0167563400570733E-2</v>
      </c>
      <c r="E235" s="1">
        <v>4.0470702481610492E-2</v>
      </c>
      <c r="F235" s="1">
        <v>4.093135411381145E-2</v>
      </c>
      <c r="G235" s="1">
        <v>4.0316191694674777E-2</v>
      </c>
      <c r="H235" s="1">
        <v>4.0075402614796168E-2</v>
      </c>
      <c r="I235" s="1">
        <v>4.0391918522122039E-2</v>
      </c>
      <c r="J235" s="1">
        <v>4.3721937339638653E-2</v>
      </c>
      <c r="K235" s="1">
        <v>4.3721937339638688E-2</v>
      </c>
      <c r="L235" s="1">
        <v>4.3721937339638701E-2</v>
      </c>
      <c r="M235" s="1">
        <v>4.3721937339638688E-2</v>
      </c>
      <c r="N235" s="1">
        <v>4.3721937339638701E-2</v>
      </c>
      <c r="O235" s="1">
        <v>4.1905710865979919E-2</v>
      </c>
      <c r="P235" s="1"/>
    </row>
    <row r="236" spans="1:16" x14ac:dyDescent="0.25">
      <c r="A236" s="2">
        <v>227</v>
      </c>
      <c r="B236" s="1" t="s">
        <v>51</v>
      </c>
      <c r="C236" s="1" t="s">
        <v>67</v>
      </c>
      <c r="D236" s="1">
        <v>1.0340121907903959E-2</v>
      </c>
      <c r="E236" s="1">
        <v>1.0631808150506499E-2</v>
      </c>
      <c r="F236" s="1">
        <v>1.126350802857325E-2</v>
      </c>
      <c r="G236" s="1">
        <v>1.133851878638273E-2</v>
      </c>
      <c r="H236" s="1">
        <v>1.112038049478329E-2</v>
      </c>
      <c r="I236" s="1">
        <v>1.110769242786735E-2</v>
      </c>
      <c r="J236" s="1">
        <v>9.1270626158765217E-3</v>
      </c>
      <c r="K236" s="1">
        <v>9.1270626158765217E-3</v>
      </c>
      <c r="L236" s="1">
        <v>9.1270626158765234E-3</v>
      </c>
      <c r="M236" s="1">
        <v>9.1270626158765217E-3</v>
      </c>
      <c r="N236" s="1">
        <v>9.1270626158765217E-3</v>
      </c>
      <c r="O236" s="1">
        <v>1.0130667534127251E-2</v>
      </c>
      <c r="P236" s="1"/>
    </row>
    <row r="237" spans="1:16" x14ac:dyDescent="0.25">
      <c r="A237" s="2">
        <v>228</v>
      </c>
      <c r="B237" s="1" t="s">
        <v>51</v>
      </c>
      <c r="C237" s="1" t="s">
        <v>68</v>
      </c>
      <c r="D237" s="1">
        <v>1.1345426034833669E-2</v>
      </c>
      <c r="E237" s="1">
        <v>1.1327652512858151E-2</v>
      </c>
      <c r="F237" s="1">
        <v>1.1211457475525479E-2</v>
      </c>
      <c r="G237" s="1">
        <v>1.1075366292844051E-2</v>
      </c>
      <c r="H237" s="1">
        <v>1.079525579841794E-2</v>
      </c>
      <c r="I237" s="1">
        <v>1.0451341408851419E-2</v>
      </c>
      <c r="J237" s="1">
        <v>9.7320883343523165E-3</v>
      </c>
      <c r="K237" s="1">
        <v>9.7320883343523217E-3</v>
      </c>
      <c r="L237" s="1">
        <v>9.7320883343523217E-3</v>
      </c>
      <c r="M237" s="1">
        <v>9.73208833435232E-3</v>
      </c>
      <c r="N237" s="1">
        <v>9.73208833435232E-3</v>
      </c>
      <c r="O237" s="1">
        <v>1.044244919955385E-2</v>
      </c>
      <c r="P237" s="1"/>
    </row>
    <row r="238" spans="1:16" x14ac:dyDescent="0.25">
      <c r="A238" s="2">
        <v>229</v>
      </c>
      <c r="B238" s="1" t="s">
        <v>51</v>
      </c>
      <c r="C238" s="1" t="s">
        <v>69</v>
      </c>
      <c r="D238" s="1">
        <v>5.0551042473863514E-3</v>
      </c>
      <c r="E238" s="1">
        <v>4.9664376850110936E-3</v>
      </c>
      <c r="F238" s="1">
        <v>4.8248167959996074E-3</v>
      </c>
      <c r="G238" s="1">
        <v>4.5723919542142392E-3</v>
      </c>
      <c r="H238" s="1">
        <v>4.4398455606686586E-3</v>
      </c>
      <c r="I238" s="1">
        <v>4.3786895198649851E-3</v>
      </c>
      <c r="J238" s="1">
        <v>4.6411499656805128E-3</v>
      </c>
      <c r="K238" s="1">
        <v>4.6411499656805102E-3</v>
      </c>
      <c r="L238" s="1">
        <v>4.6411499656805102E-3</v>
      </c>
      <c r="M238" s="1">
        <v>4.6411499656805093E-3</v>
      </c>
      <c r="N238" s="1">
        <v>4.6411499656805102E-3</v>
      </c>
      <c r="O238" s="1">
        <v>4.6766395992315904E-3</v>
      </c>
      <c r="P238" s="1"/>
    </row>
    <row r="239" spans="1:16" x14ac:dyDescent="0.25">
      <c r="A239" s="2">
        <v>230</v>
      </c>
      <c r="B239" s="1" t="s">
        <v>57</v>
      </c>
      <c r="C239" s="1" t="s">
        <v>18</v>
      </c>
      <c r="D239" s="1">
        <v>8.6662507509580773E-3</v>
      </c>
      <c r="E239" s="1">
        <v>8.6323755261215433E-3</v>
      </c>
      <c r="F239" s="1">
        <v>9.1242062404202039E-3</v>
      </c>
      <c r="G239" s="1">
        <v>8.9601921739477838E-3</v>
      </c>
      <c r="H239" s="1">
        <v>8.6922889161309604E-3</v>
      </c>
      <c r="I239" s="1">
        <v>8.5681548996359783E-3</v>
      </c>
      <c r="J239" s="1">
        <v>9.1527092055703179E-3</v>
      </c>
      <c r="K239" s="1">
        <v>9.1527092055703196E-3</v>
      </c>
      <c r="L239" s="1">
        <v>9.1527092055703196E-3</v>
      </c>
      <c r="M239" s="1">
        <v>9.1527092055703196E-3</v>
      </c>
      <c r="N239" s="1">
        <v>9.1527092055703196E-3</v>
      </c>
      <c r="O239" s="1">
        <v>8.9460922304605579E-3</v>
      </c>
      <c r="P239" s="1"/>
    </row>
    <row r="240" spans="1:16" x14ac:dyDescent="0.25">
      <c r="A240" s="2">
        <v>231</v>
      </c>
      <c r="B240" s="1" t="s">
        <v>57</v>
      </c>
      <c r="C240" s="1" t="s">
        <v>20</v>
      </c>
      <c r="D240" s="1">
        <v>1.248064530984181E-3</v>
      </c>
      <c r="E240" s="1">
        <v>1.2530272567268801E-3</v>
      </c>
      <c r="F240" s="1">
        <v>1.248991810992181E-3</v>
      </c>
      <c r="G240" s="1">
        <v>1.2553184176327639E-3</v>
      </c>
      <c r="H240" s="1">
        <v>1.196706563866631E-3</v>
      </c>
      <c r="I240" s="1">
        <v>1.145758667894035E-3</v>
      </c>
      <c r="J240" s="1">
        <v>1.2240024859936521E-3</v>
      </c>
      <c r="K240" s="1">
        <v>1.224002485993602E-3</v>
      </c>
      <c r="L240" s="1">
        <v>1.224002485993602E-3</v>
      </c>
      <c r="M240" s="1">
        <v>1.2240024859936031E-3</v>
      </c>
      <c r="N240" s="1">
        <v>1.2240024859936031E-3</v>
      </c>
      <c r="O240" s="1">
        <v>1.224352698005885E-3</v>
      </c>
      <c r="P240" s="1"/>
    </row>
    <row r="241" spans="1:16" x14ac:dyDescent="0.25">
      <c r="A241" s="2">
        <v>232</v>
      </c>
      <c r="B241" s="1" t="s">
        <v>57</v>
      </c>
      <c r="C241" s="1" t="s">
        <v>22</v>
      </c>
      <c r="D241" s="1">
        <v>1.1930808781691929E-4</v>
      </c>
      <c r="E241" s="1">
        <v>1.1247264254314351E-4</v>
      </c>
      <c r="F241" s="1">
        <v>9.4740412707875827E-5</v>
      </c>
      <c r="G241" s="1">
        <v>1.011510372237026E-4</v>
      </c>
      <c r="H241" s="1">
        <v>1.001171189497344E-4</v>
      </c>
      <c r="I241" s="1">
        <v>9.774144239803628E-5</v>
      </c>
      <c r="J241" s="1">
        <v>9.1930800735020481E-5</v>
      </c>
      <c r="K241" s="1">
        <v>9.1930800735020671E-5</v>
      </c>
      <c r="L241" s="1">
        <v>9.1930800735020684E-5</v>
      </c>
      <c r="M241" s="1">
        <v>9.1930800735020671E-5</v>
      </c>
      <c r="N241" s="1">
        <v>9.1930800735020671E-5</v>
      </c>
      <c r="O241" s="1">
        <v>9.8653158664955922E-5</v>
      </c>
      <c r="P241" s="1"/>
    </row>
    <row r="242" spans="1:16" x14ac:dyDescent="0.25">
      <c r="A242" s="2">
        <v>233</v>
      </c>
      <c r="B242" s="1" t="s">
        <v>57</v>
      </c>
      <c r="C242" s="1" t="s">
        <v>24</v>
      </c>
      <c r="D242" s="1">
        <v>4.4155600454589568E-4</v>
      </c>
      <c r="E242" s="1">
        <v>4.1786418306077308E-4</v>
      </c>
      <c r="F242" s="1">
        <v>3.9460166213872098E-4</v>
      </c>
      <c r="G242" s="1">
        <v>3.9502298572206688E-4</v>
      </c>
      <c r="H242" s="1">
        <v>3.9309349761061451E-4</v>
      </c>
      <c r="I242" s="1">
        <v>3.8038196424314291E-4</v>
      </c>
      <c r="J242" s="1">
        <v>4.0434934351560688E-4</v>
      </c>
      <c r="K242" s="1">
        <v>4.0434934351560081E-4</v>
      </c>
      <c r="L242" s="1">
        <v>4.0434934351560092E-4</v>
      </c>
      <c r="M242" s="1">
        <v>4.0434934351560081E-4</v>
      </c>
      <c r="N242" s="1">
        <v>4.0434934351560092E-4</v>
      </c>
      <c r="O242" s="1">
        <v>4.0402427408174759E-4</v>
      </c>
      <c r="P242" s="1"/>
    </row>
    <row r="243" spans="1:16" x14ac:dyDescent="0.25">
      <c r="A243" s="2">
        <v>234</v>
      </c>
      <c r="B243" s="1" t="s">
        <v>57</v>
      </c>
      <c r="C243" s="1" t="s">
        <v>26</v>
      </c>
      <c r="D243" s="1">
        <v>1.553653208026347E-4</v>
      </c>
      <c r="E243" s="1">
        <v>1.4646213618201541E-4</v>
      </c>
      <c r="F243" s="1">
        <v>1.3874592820195241E-4</v>
      </c>
      <c r="G243" s="1">
        <v>1.384245525957255E-4</v>
      </c>
      <c r="H243" s="1">
        <v>1.377348778399305E-4</v>
      </c>
      <c r="I243" s="1">
        <v>1.3358526317999069E-4</v>
      </c>
      <c r="J243" s="1">
        <v>1.425613192788171E-4</v>
      </c>
      <c r="K243" s="1">
        <v>1.4256131927880029E-4</v>
      </c>
      <c r="L243" s="1">
        <v>1.4256131927880029E-4</v>
      </c>
      <c r="M243" s="1">
        <v>1.4256131927880029E-4</v>
      </c>
      <c r="N243" s="1">
        <v>1.4256131927880029E-4</v>
      </c>
      <c r="O243" s="1">
        <v>1.421022431996607E-4</v>
      </c>
      <c r="P243" s="1"/>
    </row>
    <row r="244" spans="1:16" x14ac:dyDescent="0.25">
      <c r="A244" s="2">
        <v>235</v>
      </c>
      <c r="B244" s="1" t="s">
        <v>57</v>
      </c>
      <c r="C244" s="1" t="s">
        <v>28</v>
      </c>
      <c r="D244" s="1">
        <v>2.7470424226949161E-2</v>
      </c>
      <c r="E244" s="1">
        <v>2.843471413278726E-2</v>
      </c>
      <c r="F244" s="1">
        <v>2.8307826424091478E-2</v>
      </c>
      <c r="G244" s="1">
        <v>2.78519204255562E-2</v>
      </c>
      <c r="H244" s="1">
        <v>2.7775734145067829E-2</v>
      </c>
      <c r="I244" s="1">
        <v>2.7667654753094371E-2</v>
      </c>
      <c r="J244" s="1">
        <v>2.5451080081935959E-2</v>
      </c>
      <c r="K244" s="1">
        <v>2.5451080081935959E-2</v>
      </c>
      <c r="L244" s="1">
        <v>2.5451080081935959E-2</v>
      </c>
      <c r="M244" s="1">
        <v>2.5451080081935949E-2</v>
      </c>
      <c r="N244" s="1">
        <v>2.5451080081935959E-2</v>
      </c>
      <c r="O244" s="1">
        <v>2.6796697683384191E-2</v>
      </c>
      <c r="P244" s="1"/>
    </row>
    <row r="245" spans="1:16" x14ac:dyDescent="0.25">
      <c r="A245" s="2">
        <v>236</v>
      </c>
      <c r="B245" s="1" t="s">
        <v>57</v>
      </c>
      <c r="C245" s="1" t="s">
        <v>30</v>
      </c>
      <c r="D245" s="1">
        <v>3.234468015883102E-3</v>
      </c>
      <c r="E245" s="1">
        <v>3.457236155065312E-3</v>
      </c>
      <c r="F245" s="1">
        <v>3.1940337394492E-3</v>
      </c>
      <c r="G245" s="1">
        <v>3.0614420924962699E-3</v>
      </c>
      <c r="H245" s="1">
        <v>3.0558454828938809E-3</v>
      </c>
      <c r="I245" s="1">
        <v>2.9416011198371639E-3</v>
      </c>
      <c r="J245" s="1">
        <v>2.6884615854528338E-3</v>
      </c>
      <c r="K245" s="1">
        <v>2.6884615854528061E-3</v>
      </c>
      <c r="L245" s="1">
        <v>2.688461585452807E-3</v>
      </c>
      <c r="M245" s="1">
        <v>2.6884615854528061E-3</v>
      </c>
      <c r="N245" s="1">
        <v>2.6884615854528061E-3</v>
      </c>
      <c r="O245" s="1">
        <v>2.9442667757171811E-3</v>
      </c>
      <c r="P245" s="1"/>
    </row>
    <row r="246" spans="1:16" x14ac:dyDescent="0.25">
      <c r="A246" s="2">
        <v>237</v>
      </c>
      <c r="B246" s="1" t="s">
        <v>57</v>
      </c>
      <c r="C246" s="1" t="s">
        <v>32</v>
      </c>
      <c r="D246" s="1">
        <v>1.8310744389785649E-3</v>
      </c>
      <c r="E246" s="1">
        <v>1.9496628446764111E-3</v>
      </c>
      <c r="F246" s="1">
        <v>1.889062754454746E-3</v>
      </c>
      <c r="G246" s="1">
        <v>1.8856752354977819E-3</v>
      </c>
      <c r="H246" s="1">
        <v>1.9047939721081189E-3</v>
      </c>
      <c r="I246" s="1">
        <v>1.93449912185285E-3</v>
      </c>
      <c r="J246" s="1">
        <v>1.780577252398913E-3</v>
      </c>
      <c r="K246" s="1">
        <v>1.780577252398903E-3</v>
      </c>
      <c r="L246" s="1">
        <v>1.7805772523989041E-3</v>
      </c>
      <c r="M246" s="1">
        <v>1.7805772523989041E-3</v>
      </c>
      <c r="N246" s="1">
        <v>1.7805772523989041E-3</v>
      </c>
      <c r="O246" s="1">
        <v>1.8452413299602721E-3</v>
      </c>
      <c r="P246" s="1"/>
    </row>
    <row r="247" spans="1:16" x14ac:dyDescent="0.25">
      <c r="A247" s="2">
        <v>238</v>
      </c>
      <c r="B247" s="1" t="s">
        <v>57</v>
      </c>
      <c r="C247" s="1" t="s">
        <v>33</v>
      </c>
      <c r="D247" s="1">
        <v>1.038149042209798E-2</v>
      </c>
      <c r="E247" s="1">
        <v>1.041029224479083E-2</v>
      </c>
      <c r="F247" s="1">
        <v>1.013789245696178E-2</v>
      </c>
      <c r="G247" s="1">
        <v>9.9703165332598216E-3</v>
      </c>
      <c r="H247" s="1">
        <v>9.7436529183468901E-3</v>
      </c>
      <c r="I247" s="1">
        <v>9.7815705432235112E-3</v>
      </c>
      <c r="J247" s="1">
        <v>8.9438256066092861E-3</v>
      </c>
      <c r="K247" s="1">
        <v>8.9438256066092185E-3</v>
      </c>
      <c r="L247" s="1">
        <v>8.9438256066092202E-3</v>
      </c>
      <c r="M247" s="1">
        <v>8.9438256066092167E-3</v>
      </c>
      <c r="N247" s="1">
        <v>8.9438256066092185E-3</v>
      </c>
      <c r="O247" s="1">
        <v>9.5585766501569986E-3</v>
      </c>
      <c r="P247" s="1"/>
    </row>
    <row r="248" spans="1:16" x14ac:dyDescent="0.25">
      <c r="A248" s="2">
        <v>239</v>
      </c>
      <c r="B248" s="1" t="s">
        <v>57</v>
      </c>
      <c r="C248" s="1" t="s">
        <v>34</v>
      </c>
      <c r="D248" s="1">
        <v>1.854237765058071E-2</v>
      </c>
      <c r="E248" s="1">
        <v>1.380764851175815E-2</v>
      </c>
      <c r="F248" s="1">
        <v>1.2031178478564761E-2</v>
      </c>
      <c r="G248" s="1">
        <v>1.3410577352986E-2</v>
      </c>
      <c r="H248" s="1">
        <v>1.454963263658406E-2</v>
      </c>
      <c r="I248" s="1">
        <v>1.376277476330422E-2</v>
      </c>
      <c r="J248" s="1">
        <v>9.8858546344002818E-3</v>
      </c>
      <c r="K248" s="1">
        <v>9.8858546344002193E-3</v>
      </c>
      <c r="L248" s="1">
        <v>9.8858546344002211E-3</v>
      </c>
      <c r="M248" s="1">
        <v>9.8858546344002176E-3</v>
      </c>
      <c r="N248" s="1">
        <v>9.8858546344002211E-3</v>
      </c>
      <c r="O248" s="1">
        <v>1.2321223869616279E-2</v>
      </c>
      <c r="P248" s="1"/>
    </row>
    <row r="249" spans="1:16" x14ac:dyDescent="0.25">
      <c r="A249" s="2">
        <v>240</v>
      </c>
      <c r="B249" s="1" t="s">
        <v>57</v>
      </c>
      <c r="C249" s="1" t="s">
        <v>35</v>
      </c>
      <c r="D249" s="1">
        <v>1.8276147220811681E-2</v>
      </c>
      <c r="E249" s="1">
        <v>1.741235405138062E-2</v>
      </c>
      <c r="F249" s="1">
        <v>1.6215489468076719E-2</v>
      </c>
      <c r="G249" s="1">
        <v>1.6979253665527449E-2</v>
      </c>
      <c r="H249" s="1">
        <v>1.752430860832515E-2</v>
      </c>
      <c r="I249" s="1">
        <v>1.6773832105744211E-2</v>
      </c>
      <c r="J249" s="1">
        <v>1.5777727445701141E-2</v>
      </c>
      <c r="K249" s="1">
        <v>1.5777727445701131E-2</v>
      </c>
      <c r="L249" s="1">
        <v>1.5777727445701131E-2</v>
      </c>
      <c r="M249" s="1">
        <v>1.5777727445701131E-2</v>
      </c>
      <c r="N249" s="1">
        <v>1.5777727445701131E-2</v>
      </c>
      <c r="O249" s="1">
        <v>1.6551820213488319E-2</v>
      </c>
      <c r="P249" s="1"/>
    </row>
    <row r="250" spans="1:16" x14ac:dyDescent="0.25">
      <c r="A250" s="2">
        <v>241</v>
      </c>
      <c r="B250" s="1" t="s">
        <v>57</v>
      </c>
      <c r="C250" s="1" t="s">
        <v>36</v>
      </c>
      <c r="D250" s="1">
        <v>6.7635969005217034E-3</v>
      </c>
      <c r="E250" s="1">
        <v>7.1858743570093822E-3</v>
      </c>
      <c r="F250" s="1">
        <v>7.3107074812485779E-3</v>
      </c>
      <c r="G250" s="1">
        <v>7.1306830192626493E-3</v>
      </c>
      <c r="H250" s="1">
        <v>6.9685936195841612E-3</v>
      </c>
      <c r="I250" s="1">
        <v>6.8470164737812244E-3</v>
      </c>
      <c r="J250" s="1">
        <v>6.3021505545105038E-3</v>
      </c>
      <c r="K250" s="1">
        <v>6.3021505545105133E-3</v>
      </c>
      <c r="L250" s="1">
        <v>6.3021505545105142E-3</v>
      </c>
      <c r="M250" s="1">
        <v>6.3021505545105133E-3</v>
      </c>
      <c r="N250" s="1">
        <v>6.3021505545105133E-3</v>
      </c>
      <c r="O250" s="1">
        <v>6.7015658749054784E-3</v>
      </c>
      <c r="P250" s="1"/>
    </row>
    <row r="251" spans="1:16" x14ac:dyDescent="0.25">
      <c r="A251" s="2">
        <v>242</v>
      </c>
      <c r="B251" s="1" t="s">
        <v>57</v>
      </c>
      <c r="C251" s="1" t="s">
        <v>37</v>
      </c>
      <c r="D251" s="1">
        <v>1.1003523034704411E-2</v>
      </c>
      <c r="E251" s="1">
        <v>1.1295201054535599E-2</v>
      </c>
      <c r="F251" s="1">
        <v>1.0941464171449051E-2</v>
      </c>
      <c r="G251" s="1">
        <v>1.1184826637456831E-2</v>
      </c>
      <c r="H251" s="1">
        <v>1.139503046761013E-2</v>
      </c>
      <c r="I251" s="1">
        <v>1.133722235260883E-2</v>
      </c>
      <c r="J251" s="1">
        <v>1.0433315726998869E-2</v>
      </c>
      <c r="K251" s="1">
        <v>1.0433315726998821E-2</v>
      </c>
      <c r="L251" s="1">
        <v>1.0433315726998821E-2</v>
      </c>
      <c r="M251" s="1">
        <v>1.0433315726998821E-2</v>
      </c>
      <c r="N251" s="1">
        <v>1.0433315726998821E-2</v>
      </c>
      <c r="O251" s="1">
        <v>1.084762239575991E-2</v>
      </c>
      <c r="P251" s="1"/>
    </row>
    <row r="252" spans="1:16" x14ac:dyDescent="0.25">
      <c r="A252" s="2">
        <v>243</v>
      </c>
      <c r="B252" s="1" t="s">
        <v>57</v>
      </c>
      <c r="C252" s="1" t="s">
        <v>39</v>
      </c>
      <c r="D252" s="1">
        <v>5.1742038647295853E-3</v>
      </c>
      <c r="E252" s="1">
        <v>5.1600923136968999E-3</v>
      </c>
      <c r="F252" s="1">
        <v>4.896483777386669E-3</v>
      </c>
      <c r="G252" s="1">
        <v>5.0074042391809936E-3</v>
      </c>
      <c r="H252" s="1">
        <v>5.0255732738809849E-3</v>
      </c>
      <c r="I252" s="1">
        <v>4.9576925610930319E-3</v>
      </c>
      <c r="J252" s="1">
        <v>4.4744348546204502E-3</v>
      </c>
      <c r="K252" s="1">
        <v>4.4744348546204094E-3</v>
      </c>
      <c r="L252" s="1">
        <v>4.4744348546204103E-3</v>
      </c>
      <c r="M252" s="1">
        <v>4.4744348546204094E-3</v>
      </c>
      <c r="N252" s="1">
        <v>4.4744348546204094E-3</v>
      </c>
      <c r="O252" s="1">
        <v>4.7812385730063864E-3</v>
      </c>
      <c r="P252" s="1"/>
    </row>
    <row r="253" spans="1:16" x14ac:dyDescent="0.25">
      <c r="A253" s="2">
        <v>244</v>
      </c>
      <c r="B253" s="1" t="s">
        <v>57</v>
      </c>
      <c r="C253" s="1" t="s">
        <v>40</v>
      </c>
      <c r="D253" s="1">
        <v>3.3168591560042843E-2</v>
      </c>
      <c r="E253" s="1">
        <v>3.0057689328442942E-2</v>
      </c>
      <c r="F253" s="1">
        <v>2.8039597909696241E-2</v>
      </c>
      <c r="G253" s="1">
        <v>3.0607314120434569E-2</v>
      </c>
      <c r="H253" s="1">
        <v>3.099572659394938E-2</v>
      </c>
      <c r="I253" s="1">
        <v>2.945008223175764E-2</v>
      </c>
      <c r="J253" s="1">
        <v>2.4427876193189691E-2</v>
      </c>
      <c r="K253" s="1">
        <v>2.4427876193189649E-2</v>
      </c>
      <c r="L253" s="1">
        <v>2.442787619318966E-2</v>
      </c>
      <c r="M253" s="1">
        <v>2.4427876193189649E-2</v>
      </c>
      <c r="N253" s="1">
        <v>2.4427876193189649E-2</v>
      </c>
      <c r="O253" s="1">
        <v>2.7678034791842901E-2</v>
      </c>
      <c r="P253" s="1"/>
    </row>
    <row r="254" spans="1:16" x14ac:dyDescent="0.25">
      <c r="A254" s="2">
        <v>245</v>
      </c>
      <c r="B254" s="1" t="s">
        <v>57</v>
      </c>
      <c r="C254" s="1" t="s">
        <v>41</v>
      </c>
      <c r="D254" s="1">
        <v>9.2847012189394285E-3</v>
      </c>
      <c r="E254" s="1">
        <v>9.3431434254570567E-3</v>
      </c>
      <c r="F254" s="1">
        <v>9.4248657337515935E-3</v>
      </c>
      <c r="G254" s="1">
        <v>9.6491243165688877E-3</v>
      </c>
      <c r="H254" s="1">
        <v>9.9578763442419276E-3</v>
      </c>
      <c r="I254" s="1">
        <v>9.9339156013846085E-3</v>
      </c>
      <c r="J254" s="1">
        <v>9.0531084813346326E-3</v>
      </c>
      <c r="K254" s="1">
        <v>9.0531084813346169E-3</v>
      </c>
      <c r="L254" s="1">
        <v>9.0531084813346204E-3</v>
      </c>
      <c r="M254" s="1">
        <v>9.0531084813346187E-3</v>
      </c>
      <c r="N254" s="1">
        <v>9.0531084813346187E-3</v>
      </c>
      <c r="O254" s="1">
        <v>9.350833549728781E-3</v>
      </c>
      <c r="P254" s="1"/>
    </row>
    <row r="255" spans="1:16" x14ac:dyDescent="0.25">
      <c r="A255" s="2">
        <v>246</v>
      </c>
      <c r="B255" s="1" t="s">
        <v>57</v>
      </c>
      <c r="C255" s="1" t="s">
        <v>19</v>
      </c>
      <c r="D255" s="1">
        <v>1.736791485574141E-2</v>
      </c>
      <c r="E255" s="1">
        <v>1.7806691790250479E-2</v>
      </c>
      <c r="F255" s="1">
        <v>1.629125766528788E-2</v>
      </c>
      <c r="G255" s="1">
        <v>1.6799351048283898E-2</v>
      </c>
      <c r="H255" s="1">
        <v>1.6907432853866668E-2</v>
      </c>
      <c r="I255" s="1">
        <v>1.5590827262859481E-2</v>
      </c>
      <c r="J255" s="1">
        <v>1.4609977081005299E-2</v>
      </c>
      <c r="K255" s="1">
        <v>1.460997708100523E-2</v>
      </c>
      <c r="L255" s="1">
        <v>1.460997708100523E-2</v>
      </c>
      <c r="M255" s="1">
        <v>1.460997708100523E-2</v>
      </c>
      <c r="N255" s="1">
        <v>1.460997708100523E-2</v>
      </c>
      <c r="O255" s="1">
        <v>1.580121462557418E-2</v>
      </c>
      <c r="P255" s="1"/>
    </row>
    <row r="256" spans="1:16" x14ac:dyDescent="0.25">
      <c r="A256" s="2">
        <v>247</v>
      </c>
      <c r="B256" s="1" t="s">
        <v>57</v>
      </c>
      <c r="C256" s="1" t="s">
        <v>42</v>
      </c>
      <c r="D256" s="1">
        <v>1.415616398488578E-2</v>
      </c>
      <c r="E256" s="1">
        <v>1.39587768802087E-2</v>
      </c>
      <c r="F256" s="1">
        <v>1.336793999099377E-2</v>
      </c>
      <c r="G256" s="1">
        <v>1.3713118858840681E-2</v>
      </c>
      <c r="H256" s="1">
        <v>1.4688987503564869E-2</v>
      </c>
      <c r="I256" s="1">
        <v>1.410583117401655E-2</v>
      </c>
      <c r="J256" s="1">
        <v>1.293568692144677E-2</v>
      </c>
      <c r="K256" s="1">
        <v>1.293568692144673E-2</v>
      </c>
      <c r="L256" s="1">
        <v>1.293568692144673E-2</v>
      </c>
      <c r="M256" s="1">
        <v>1.2935686921446719E-2</v>
      </c>
      <c r="N256" s="1">
        <v>1.293568692144673E-2</v>
      </c>
      <c r="O256" s="1">
        <v>1.351538663634036E-2</v>
      </c>
      <c r="P256" s="1"/>
    </row>
    <row r="257" spans="1:16" x14ac:dyDescent="0.25">
      <c r="A257" s="2">
        <v>248</v>
      </c>
      <c r="B257" s="1" t="s">
        <v>57</v>
      </c>
      <c r="C257" s="1" t="s">
        <v>43</v>
      </c>
      <c r="D257" s="1">
        <v>2.682407837449495E-2</v>
      </c>
      <c r="E257" s="1">
        <v>2.8215545108791099E-2</v>
      </c>
      <c r="F257" s="1">
        <v>2.8114391506796281E-2</v>
      </c>
      <c r="G257" s="1">
        <v>2.9516428927466459E-2</v>
      </c>
      <c r="H257" s="1">
        <v>3.034604829694211E-2</v>
      </c>
      <c r="I257" s="1">
        <v>2.9091688123127051E-2</v>
      </c>
      <c r="J257" s="1">
        <v>2.5428142498949261E-2</v>
      </c>
      <c r="K257" s="1">
        <v>2.5428142498949251E-2</v>
      </c>
      <c r="L257" s="1">
        <v>2.5428142498949251E-2</v>
      </c>
      <c r="M257" s="1">
        <v>2.5428142498949251E-2</v>
      </c>
      <c r="N257" s="1">
        <v>2.5428142498949251E-2</v>
      </c>
      <c r="O257" s="1">
        <v>2.72044448029422E-2</v>
      </c>
      <c r="P257" s="1"/>
    </row>
    <row r="258" spans="1:16" x14ac:dyDescent="0.25">
      <c r="A258" s="2">
        <v>249</v>
      </c>
      <c r="B258" s="1" t="s">
        <v>57</v>
      </c>
      <c r="C258" s="1" t="s">
        <v>45</v>
      </c>
      <c r="D258" s="1">
        <v>3.9552027694276522E-2</v>
      </c>
      <c r="E258" s="1">
        <v>4.1265002823224699E-2</v>
      </c>
      <c r="F258" s="1">
        <v>4.0733857176252122E-2</v>
      </c>
      <c r="G258" s="1">
        <v>4.2132653436630682E-2</v>
      </c>
      <c r="H258" s="1">
        <v>4.185288486592182E-2</v>
      </c>
      <c r="I258" s="1">
        <v>4.0813499502605252E-2</v>
      </c>
      <c r="J258" s="1">
        <v>3.7555924796033119E-2</v>
      </c>
      <c r="K258" s="1">
        <v>3.7555924796033181E-2</v>
      </c>
      <c r="L258" s="1">
        <v>3.7555924796033181E-2</v>
      </c>
      <c r="M258" s="1">
        <v>3.7555924796033167E-2</v>
      </c>
      <c r="N258" s="1">
        <v>3.7555924796033181E-2</v>
      </c>
      <c r="O258" s="1">
        <v>3.9466322679916087E-2</v>
      </c>
      <c r="P258" s="1"/>
    </row>
    <row r="259" spans="1:16" x14ac:dyDescent="0.25">
      <c r="A259" s="2">
        <v>250</v>
      </c>
      <c r="B259" s="1" t="s">
        <v>57</v>
      </c>
      <c r="C259" s="1" t="s">
        <v>46</v>
      </c>
      <c r="D259" s="1">
        <v>5.4548444914840986E-3</v>
      </c>
      <c r="E259" s="1">
        <v>5.9801261056465207E-3</v>
      </c>
      <c r="F259" s="1">
        <v>5.4887714696862933E-3</v>
      </c>
      <c r="G259" s="1">
        <v>5.6115384366732324E-3</v>
      </c>
      <c r="H259" s="1">
        <v>5.5355476454737717E-3</v>
      </c>
      <c r="I259" s="1">
        <v>5.4933477696438304E-3</v>
      </c>
      <c r="J259" s="1">
        <v>5.0551292745754459E-3</v>
      </c>
      <c r="K259" s="1">
        <v>5.0551292745754104E-3</v>
      </c>
      <c r="L259" s="1">
        <v>5.0551292745754112E-3</v>
      </c>
      <c r="M259" s="1">
        <v>5.0551292745754104E-3</v>
      </c>
      <c r="N259" s="1">
        <v>5.0551292745754112E-3</v>
      </c>
      <c r="O259" s="1">
        <v>5.349074753771348E-3</v>
      </c>
      <c r="P259" s="1"/>
    </row>
    <row r="260" spans="1:16" x14ac:dyDescent="0.25">
      <c r="A260" s="2">
        <v>251</v>
      </c>
      <c r="B260" s="1" t="s">
        <v>57</v>
      </c>
      <c r="C260" s="1" t="s">
        <v>47</v>
      </c>
      <c r="D260" s="1">
        <v>1.053580377131451E-2</v>
      </c>
      <c r="E260" s="1">
        <v>1.054975503257004E-2</v>
      </c>
      <c r="F260" s="1">
        <v>1.025125237274519E-2</v>
      </c>
      <c r="G260" s="1">
        <v>1.014939126358845E-2</v>
      </c>
      <c r="H260" s="1">
        <v>1.0053294599661479E-2</v>
      </c>
      <c r="I260" s="1">
        <v>1.0099790290716851E-2</v>
      </c>
      <c r="J260" s="1">
        <v>2.4631156236275532E-2</v>
      </c>
      <c r="K260" s="1">
        <v>2.4631156236275549E-2</v>
      </c>
      <c r="L260" s="1">
        <v>2.4631156236275559E-2</v>
      </c>
      <c r="M260" s="1">
        <v>2.4631156236275549E-2</v>
      </c>
      <c r="N260" s="1">
        <v>2.4631156236275559E-2</v>
      </c>
      <c r="O260" s="1">
        <v>1.6799551682906751E-2</v>
      </c>
      <c r="P260" s="1"/>
    </row>
    <row r="261" spans="1:16" x14ac:dyDescent="0.25">
      <c r="A261" s="2">
        <v>252</v>
      </c>
      <c r="B261" s="1" t="s">
        <v>57</v>
      </c>
      <c r="C261" s="1" t="s">
        <v>48</v>
      </c>
      <c r="D261" s="1">
        <v>2.0138046241007158E-2</v>
      </c>
      <c r="E261" s="1">
        <v>1.8963547383240159E-2</v>
      </c>
      <c r="F261" s="1">
        <v>1.6405081676362319E-2</v>
      </c>
      <c r="G261" s="1">
        <v>1.6864530864159059E-2</v>
      </c>
      <c r="H261" s="1">
        <v>1.7449010439031021E-2</v>
      </c>
      <c r="I261" s="1">
        <v>1.762071293042021E-2</v>
      </c>
      <c r="J261" s="1">
        <v>1.8205754522829059E-2</v>
      </c>
      <c r="K261" s="1">
        <v>1.8205754522829042E-2</v>
      </c>
      <c r="L261" s="1">
        <v>1.8205754522829042E-2</v>
      </c>
      <c r="M261" s="1">
        <v>1.8205754522829031E-2</v>
      </c>
      <c r="N261" s="1">
        <v>1.8205754522829042E-2</v>
      </c>
      <c r="O261" s="1">
        <v>1.8042700195305919E-2</v>
      </c>
      <c r="P261" s="1"/>
    </row>
    <row r="262" spans="1:16" x14ac:dyDescent="0.25">
      <c r="A262" s="2">
        <v>253</v>
      </c>
      <c r="B262" s="1" t="s">
        <v>57</v>
      </c>
      <c r="C262" s="1" t="s">
        <v>49</v>
      </c>
      <c r="D262" s="1">
        <v>8.8980200425616812E-3</v>
      </c>
      <c r="E262" s="1">
        <v>9.1254955520682617E-3</v>
      </c>
      <c r="F262" s="1">
        <v>9.2670918986180115E-3</v>
      </c>
      <c r="G262" s="1">
        <v>9.3328529108666729E-3</v>
      </c>
      <c r="H262" s="1">
        <v>9.2905661212261681E-3</v>
      </c>
      <c r="I262" s="1">
        <v>9.4492566949404208E-3</v>
      </c>
      <c r="J262" s="1">
        <v>9.8457003290144517E-3</v>
      </c>
      <c r="K262" s="1">
        <v>9.8457003290144205E-3</v>
      </c>
      <c r="L262" s="1">
        <v>9.8457003290144222E-3</v>
      </c>
      <c r="M262" s="1">
        <v>9.8457003290144188E-3</v>
      </c>
      <c r="N262" s="1">
        <v>9.8457003290144205E-3</v>
      </c>
      <c r="O262" s="1">
        <v>9.5083440786684868E-3</v>
      </c>
      <c r="P262" s="1"/>
    </row>
    <row r="263" spans="1:16" x14ac:dyDescent="0.25">
      <c r="A263" s="2">
        <v>254</v>
      </c>
      <c r="B263" s="1" t="s">
        <v>57</v>
      </c>
      <c r="C263" s="1" t="s">
        <v>50</v>
      </c>
      <c r="D263" s="1">
        <v>4.7961615515666772E-2</v>
      </c>
      <c r="E263" s="1">
        <v>4.8412242010415947E-2</v>
      </c>
      <c r="F263" s="1">
        <v>5.0215008386898047E-2</v>
      </c>
      <c r="G263" s="1">
        <v>5.0485585907429867E-2</v>
      </c>
      <c r="H263" s="1">
        <v>4.9713457036778153E-2</v>
      </c>
      <c r="I263" s="1">
        <v>5.0935489325041633E-2</v>
      </c>
      <c r="J263" s="1">
        <v>5.4412178837518838E-2</v>
      </c>
      <c r="K263" s="1">
        <v>5.4412178837518907E-2</v>
      </c>
      <c r="L263" s="1">
        <v>5.4412178837518921E-2</v>
      </c>
      <c r="M263" s="1">
        <v>5.4412178837518907E-2</v>
      </c>
      <c r="N263" s="1">
        <v>5.4412178837518921E-2</v>
      </c>
      <c r="O263" s="1">
        <v>5.1798572033620441E-2</v>
      </c>
      <c r="P263" s="1"/>
    </row>
    <row r="264" spans="1:16" x14ac:dyDescent="0.25">
      <c r="A264" s="2">
        <v>255</v>
      </c>
      <c r="B264" s="1" t="s">
        <v>57</v>
      </c>
      <c r="C264" s="1" t="s">
        <v>21</v>
      </c>
      <c r="D264" s="1">
        <v>9.3898738920041247E-2</v>
      </c>
      <c r="E264" s="1">
        <v>9.244265552564998E-2</v>
      </c>
      <c r="F264" s="1">
        <v>9.2072551645568199E-2</v>
      </c>
      <c r="G264" s="1">
        <v>9.1365497608174237E-2</v>
      </c>
      <c r="H264" s="1">
        <v>8.9895023271636273E-2</v>
      </c>
      <c r="I264" s="1">
        <v>8.8700835247458629E-2</v>
      </c>
      <c r="J264" s="1">
        <v>9.2011452236489835E-2</v>
      </c>
      <c r="K264" s="1">
        <v>9.2011452236489988E-2</v>
      </c>
      <c r="L264" s="1">
        <v>9.2011452236490002E-2</v>
      </c>
      <c r="M264" s="1">
        <v>9.2011452236489988E-2</v>
      </c>
      <c r="N264" s="1">
        <v>9.2011452236489988E-2</v>
      </c>
      <c r="O264" s="1">
        <v>9.1675687581907125E-2</v>
      </c>
      <c r="P264" s="1"/>
    </row>
    <row r="265" spans="1:16" x14ac:dyDescent="0.25">
      <c r="A265" s="2">
        <v>256</v>
      </c>
      <c r="B265" s="1" t="s">
        <v>57</v>
      </c>
      <c r="C265" s="1" t="s">
        <v>52</v>
      </c>
      <c r="D265" s="1">
        <v>1.9672721119847691E-2</v>
      </c>
      <c r="E265" s="1">
        <v>1.9566549984479639E-2</v>
      </c>
      <c r="F265" s="1">
        <v>1.978251659291496E-2</v>
      </c>
      <c r="G265" s="1">
        <v>1.9808766494542159E-2</v>
      </c>
      <c r="H265" s="1">
        <v>1.980006219326266E-2</v>
      </c>
      <c r="I265" s="1">
        <v>2.0173147527574559E-2</v>
      </c>
      <c r="J265" s="1">
        <v>1.7048218691548229E-2</v>
      </c>
      <c r="K265" s="1">
        <v>1.7048218691548239E-2</v>
      </c>
      <c r="L265" s="1">
        <v>1.7048218691548239E-2</v>
      </c>
      <c r="M265" s="1">
        <v>1.7048218691548239E-2</v>
      </c>
      <c r="N265" s="1">
        <v>1.7048218691548239E-2</v>
      </c>
      <c r="O265" s="1">
        <v>1.8549532488214809E-2</v>
      </c>
      <c r="P265" s="1"/>
    </row>
    <row r="266" spans="1:16" x14ac:dyDescent="0.25">
      <c r="A266" s="2">
        <v>257</v>
      </c>
      <c r="B266" s="1" t="s">
        <v>57</v>
      </c>
      <c r="C266" s="1" t="s">
        <v>53</v>
      </c>
      <c r="D266" s="1">
        <v>5.2350096361504159E-3</v>
      </c>
      <c r="E266" s="1">
        <v>4.9926526883957616E-3</v>
      </c>
      <c r="F266" s="1">
        <v>4.0678694809962029E-3</v>
      </c>
      <c r="G266" s="1">
        <v>4.3168907395313809E-3</v>
      </c>
      <c r="H266" s="1">
        <v>3.720318487359037E-3</v>
      </c>
      <c r="I266" s="1">
        <v>3.3616194351123209E-3</v>
      </c>
      <c r="J266" s="1">
        <v>2.8313838423081532E-3</v>
      </c>
      <c r="K266" s="1">
        <v>2.831383842308105E-3</v>
      </c>
      <c r="L266" s="1">
        <v>2.8313838423081059E-3</v>
      </c>
      <c r="M266" s="1">
        <v>2.8313838423081059E-3</v>
      </c>
      <c r="N266" s="1">
        <v>2.8313838423081059E-3</v>
      </c>
      <c r="O266" s="1">
        <v>3.6228436071896091E-3</v>
      </c>
      <c r="P266" s="1"/>
    </row>
    <row r="267" spans="1:16" x14ac:dyDescent="0.25">
      <c r="A267" s="2">
        <v>258</v>
      </c>
      <c r="B267" s="1" t="s">
        <v>57</v>
      </c>
      <c r="C267" s="1" t="s">
        <v>54</v>
      </c>
      <c r="D267" s="1">
        <v>2.4328203236702551E-3</v>
      </c>
      <c r="E267" s="1">
        <v>2.4768134764405788E-3</v>
      </c>
      <c r="F267" s="1">
        <v>2.438579424734395E-3</v>
      </c>
      <c r="G267" s="1">
        <v>2.5376036236517251E-3</v>
      </c>
      <c r="H267" s="1">
        <v>2.621035027351502E-3</v>
      </c>
      <c r="I267" s="1">
        <v>2.5615895887812368E-3</v>
      </c>
      <c r="J267" s="1">
        <v>2.153976198729487E-3</v>
      </c>
      <c r="K267" s="1">
        <v>2.153976198729405E-3</v>
      </c>
      <c r="L267" s="1">
        <v>2.1539761987294042E-3</v>
      </c>
      <c r="M267" s="1">
        <v>2.1539761987294042E-3</v>
      </c>
      <c r="N267" s="1">
        <v>2.153976198729405E-3</v>
      </c>
      <c r="O267" s="1">
        <v>2.3489384052978899E-3</v>
      </c>
      <c r="P267" s="1"/>
    </row>
    <row r="268" spans="1:16" x14ac:dyDescent="0.25">
      <c r="A268" s="2">
        <v>259</v>
      </c>
      <c r="B268" s="1" t="s">
        <v>57</v>
      </c>
      <c r="C268" s="1" t="s">
        <v>55</v>
      </c>
      <c r="D268" s="1">
        <v>8.9296426711887415E-3</v>
      </c>
      <c r="E268" s="1">
        <v>9.2505793553900248E-3</v>
      </c>
      <c r="F268" s="1">
        <v>9.3055282706199054E-3</v>
      </c>
      <c r="G268" s="1">
        <v>9.2898679059916726E-3</v>
      </c>
      <c r="H268" s="1">
        <v>9.2589450072221077E-3</v>
      </c>
      <c r="I268" s="1">
        <v>9.2521333203152527E-3</v>
      </c>
      <c r="J268" s="1">
        <v>7.8209758764302764E-3</v>
      </c>
      <c r="K268" s="1">
        <v>7.8209758764302157E-3</v>
      </c>
      <c r="L268" s="1">
        <v>7.8209758764302174E-3</v>
      </c>
      <c r="M268" s="1">
        <v>7.8209758764302157E-3</v>
      </c>
      <c r="N268" s="1">
        <v>7.8209758764302157E-3</v>
      </c>
      <c r="O268" s="1">
        <v>8.5810523557162573E-3</v>
      </c>
      <c r="P268" s="1"/>
    </row>
    <row r="269" spans="1:16" x14ac:dyDescent="0.25">
      <c r="A269" s="2">
        <v>260</v>
      </c>
      <c r="B269" s="1" t="s">
        <v>57</v>
      </c>
      <c r="C269" s="1" t="s">
        <v>56</v>
      </c>
      <c r="D269" s="1">
        <v>1.1560714295236439E-3</v>
      </c>
      <c r="E269" s="1">
        <v>1.1600109526954949E-3</v>
      </c>
      <c r="F269" s="1">
        <v>1.1786071191567909E-3</v>
      </c>
      <c r="G269" s="1">
        <v>1.1902130185589459E-3</v>
      </c>
      <c r="H269" s="1">
        <v>1.2191268555677829E-3</v>
      </c>
      <c r="I269" s="1">
        <v>1.2309759406290859E-3</v>
      </c>
      <c r="J269" s="1">
        <v>1.040592056494238E-3</v>
      </c>
      <c r="K269" s="1">
        <v>1.040592056494202E-3</v>
      </c>
      <c r="L269" s="1">
        <v>1.040592056494202E-3</v>
      </c>
      <c r="M269" s="1">
        <v>1.040592056494202E-3</v>
      </c>
      <c r="N269" s="1">
        <v>1.040592056494202E-3</v>
      </c>
      <c r="O269" s="1">
        <v>1.121633236236617E-3</v>
      </c>
      <c r="P269" s="1"/>
    </row>
    <row r="270" spans="1:16" x14ac:dyDescent="0.25">
      <c r="A270" s="2">
        <v>261</v>
      </c>
      <c r="B270" s="1" t="s">
        <v>57</v>
      </c>
      <c r="C270" s="1" t="s">
        <v>58</v>
      </c>
      <c r="D270" s="1">
        <v>0.2025429544937587</v>
      </c>
      <c r="E270" s="1">
        <v>0.20358080703021539</v>
      </c>
      <c r="F270" s="1">
        <v>0.2099084623088954</v>
      </c>
      <c r="G270" s="1">
        <v>0.2078459401053584</v>
      </c>
      <c r="H270" s="1">
        <v>0.20960588402968519</v>
      </c>
      <c r="I270" s="1">
        <v>0.2134066649926615</v>
      </c>
      <c r="J270" s="1">
        <v>0.21042443545949169</v>
      </c>
      <c r="K270" s="1">
        <v>0.2104244354594921</v>
      </c>
      <c r="L270" s="1">
        <v>0.2104244354594921</v>
      </c>
      <c r="M270" s="1">
        <v>0.2104244354594921</v>
      </c>
      <c r="N270" s="1">
        <v>0.2104244354594921</v>
      </c>
      <c r="O270" s="1">
        <v>0.20900117184163949</v>
      </c>
      <c r="P270" s="1"/>
    </row>
    <row r="271" spans="1:16" x14ac:dyDescent="0.25">
      <c r="A271" s="2">
        <v>262</v>
      </c>
      <c r="B271" s="1" t="s">
        <v>57</v>
      </c>
      <c r="C271" s="1" t="s">
        <v>59</v>
      </c>
      <c r="D271" s="1">
        <v>2.4796657066458609E-2</v>
      </c>
      <c r="E271" s="1">
        <v>2.5209823454952169E-2</v>
      </c>
      <c r="F271" s="1">
        <v>2.5584997915516001E-2</v>
      </c>
      <c r="G271" s="1">
        <v>2.5131400304206582E-2</v>
      </c>
      <c r="H271" s="1">
        <v>2.4298897340518419E-2</v>
      </c>
      <c r="I271" s="1">
        <v>2.4097878326280551E-2</v>
      </c>
      <c r="J271" s="1">
        <v>1.8392927726563511E-2</v>
      </c>
      <c r="K271" s="1">
        <v>1.8392927726563531E-2</v>
      </c>
      <c r="L271" s="1">
        <v>1.8392927726563538E-2</v>
      </c>
      <c r="M271" s="1">
        <v>1.8392927726563538E-2</v>
      </c>
      <c r="N271" s="1">
        <v>1.8392927726563538E-2</v>
      </c>
      <c r="O271" s="1">
        <v>2.1916753912795451E-2</v>
      </c>
      <c r="P271" s="1"/>
    </row>
    <row r="272" spans="1:16" x14ac:dyDescent="0.25">
      <c r="A272" s="2">
        <v>263</v>
      </c>
      <c r="B272" s="1" t="s">
        <v>57</v>
      </c>
      <c r="C272" s="1" t="s">
        <v>23</v>
      </c>
      <c r="D272" s="1">
        <v>9.4862535336042979E-3</v>
      </c>
      <c r="E272" s="1">
        <v>9.9051674626995118E-3</v>
      </c>
      <c r="F272" s="1">
        <v>9.7986944906644675E-3</v>
      </c>
      <c r="G272" s="1">
        <v>9.4222274892780504E-3</v>
      </c>
      <c r="H272" s="1">
        <v>9.3230017049087937E-3</v>
      </c>
      <c r="I272" s="1">
        <v>9.4002977753634941E-3</v>
      </c>
      <c r="J272" s="1">
        <v>1.1299990012255691E-2</v>
      </c>
      <c r="K272" s="1">
        <v>1.1299990012255619E-2</v>
      </c>
      <c r="L272" s="1">
        <v>1.1299990012255619E-2</v>
      </c>
      <c r="M272" s="1">
        <v>1.1299990012255619E-2</v>
      </c>
      <c r="N272" s="1">
        <v>1.1299990012255619E-2</v>
      </c>
      <c r="O272" s="1">
        <v>1.0348690228890621E-2</v>
      </c>
      <c r="P272" s="1"/>
    </row>
    <row r="273" spans="1:16" x14ac:dyDescent="0.25">
      <c r="A273" s="2">
        <v>264</v>
      </c>
      <c r="B273" s="1" t="s">
        <v>57</v>
      </c>
      <c r="C273" s="1" t="s">
        <v>25</v>
      </c>
      <c r="D273" s="1">
        <v>1.5435334227424539E-2</v>
      </c>
      <c r="E273" s="1">
        <v>1.587711224480913E-2</v>
      </c>
      <c r="F273" s="1">
        <v>1.6472644668828331E-2</v>
      </c>
      <c r="G273" s="1">
        <v>1.6072624472681381E-2</v>
      </c>
      <c r="H273" s="1">
        <v>1.669942982826397E-2</v>
      </c>
      <c r="I273" s="1">
        <v>1.6545248369719129E-2</v>
      </c>
      <c r="J273" s="1">
        <v>1.6869798224043948E-2</v>
      </c>
      <c r="K273" s="1">
        <v>1.6869798224043931E-2</v>
      </c>
      <c r="L273" s="1">
        <v>1.6869798224043941E-2</v>
      </c>
      <c r="M273" s="1">
        <v>1.6869798224043931E-2</v>
      </c>
      <c r="N273" s="1">
        <v>1.6869798224043931E-2</v>
      </c>
      <c r="O273" s="1">
        <v>1.6495580448358749E-2</v>
      </c>
      <c r="P273" s="1"/>
    </row>
    <row r="274" spans="1:16" x14ac:dyDescent="0.25">
      <c r="A274" s="2">
        <v>265</v>
      </c>
      <c r="B274" s="1" t="s">
        <v>57</v>
      </c>
      <c r="C274" s="1" t="s">
        <v>27</v>
      </c>
      <c r="D274" s="1">
        <v>1.5919250225752191E-2</v>
      </c>
      <c r="E274" s="1">
        <v>1.6238632187129561E-2</v>
      </c>
      <c r="F274" s="1">
        <v>1.6486808857110121E-2</v>
      </c>
      <c r="G274" s="1">
        <v>1.643029952623009E-2</v>
      </c>
      <c r="H274" s="1">
        <v>1.6161772437816229E-2</v>
      </c>
      <c r="I274" s="1">
        <v>1.662808428625066E-2</v>
      </c>
      <c r="J274" s="1">
        <v>1.695460050764306E-2</v>
      </c>
      <c r="K274" s="1">
        <v>1.6954600507643039E-2</v>
      </c>
      <c r="L274" s="1">
        <v>1.6954600507643039E-2</v>
      </c>
      <c r="M274" s="1">
        <v>1.6954600507643029E-2</v>
      </c>
      <c r="N274" s="1">
        <v>1.6954600507643039E-2</v>
      </c>
      <c r="O274" s="1">
        <v>1.6603440914409458E-2</v>
      </c>
      <c r="P274" s="1"/>
    </row>
    <row r="275" spans="1:16" x14ac:dyDescent="0.25">
      <c r="A275" s="2">
        <v>266</v>
      </c>
      <c r="B275" s="1" t="s">
        <v>57</v>
      </c>
      <c r="C275" s="1" t="s">
        <v>60</v>
      </c>
      <c r="D275" s="1">
        <v>2.794033812071697E-2</v>
      </c>
      <c r="E275" s="1">
        <v>2.8326989946869809E-2</v>
      </c>
      <c r="F275" s="1">
        <v>2.773447381966529E-2</v>
      </c>
      <c r="G275" s="1">
        <v>2.725674415052547E-2</v>
      </c>
      <c r="H275" s="1">
        <v>2.7336072672319051E-2</v>
      </c>
      <c r="I275" s="1">
        <v>2.72410127396383E-2</v>
      </c>
      <c r="J275" s="1">
        <v>2.915414621837489E-2</v>
      </c>
      <c r="K275" s="1">
        <v>2.9154146218374859E-2</v>
      </c>
      <c r="L275" s="1">
        <v>2.9154146218374869E-2</v>
      </c>
      <c r="M275" s="1">
        <v>2.9154146218374859E-2</v>
      </c>
      <c r="N275" s="1">
        <v>2.9154146218374859E-2</v>
      </c>
      <c r="O275" s="1">
        <v>2.8327851140146292E-2</v>
      </c>
      <c r="P275" s="1"/>
    </row>
    <row r="276" spans="1:16" x14ac:dyDescent="0.25">
      <c r="A276" s="2">
        <v>267</v>
      </c>
      <c r="B276" s="1" t="s">
        <v>57</v>
      </c>
      <c r="C276" s="1" t="s">
        <v>62</v>
      </c>
      <c r="D276" s="1">
        <v>6.3038245569671539E-2</v>
      </c>
      <c r="E276" s="1">
        <v>6.2661209203113299E-2</v>
      </c>
      <c r="F276" s="1">
        <v>6.3238506134806041E-2</v>
      </c>
      <c r="G276" s="1">
        <v>6.1451227158634887E-2</v>
      </c>
      <c r="H276" s="1">
        <v>6.0162073737895991E-2</v>
      </c>
      <c r="I276" s="1">
        <v>6.0610154614402417E-2</v>
      </c>
      <c r="J276" s="1">
        <v>6.4818027214945922E-2</v>
      </c>
      <c r="K276" s="1">
        <v>6.481802721494602E-2</v>
      </c>
      <c r="L276" s="1">
        <v>6.4818027214946033E-2</v>
      </c>
      <c r="M276" s="1">
        <v>6.481802721494602E-2</v>
      </c>
      <c r="N276" s="1">
        <v>6.4818027214946033E-2</v>
      </c>
      <c r="O276" s="1">
        <v>6.3204686590295822E-2</v>
      </c>
      <c r="P276" s="1"/>
    </row>
    <row r="277" spans="1:16" x14ac:dyDescent="0.25">
      <c r="A277" s="2">
        <v>268</v>
      </c>
      <c r="B277" s="1" t="s">
        <v>57</v>
      </c>
      <c r="C277" s="1" t="s">
        <v>29</v>
      </c>
      <c r="D277" s="1">
        <v>3.0639724416817331E-2</v>
      </c>
      <c r="E277" s="1">
        <v>3.1460714368709487E-2</v>
      </c>
      <c r="F277" s="1">
        <v>3.2259978385225922E-2</v>
      </c>
      <c r="G277" s="1">
        <v>3.1719073226179027E-2</v>
      </c>
      <c r="H277" s="1">
        <v>3.1487236669422623E-2</v>
      </c>
      <c r="I277" s="1">
        <v>3.2123542643077832E-2</v>
      </c>
      <c r="J277" s="1">
        <v>3.2799173592512339E-2</v>
      </c>
      <c r="K277" s="1">
        <v>3.2799173592512373E-2</v>
      </c>
      <c r="L277" s="1">
        <v>3.2799173592512373E-2</v>
      </c>
      <c r="M277" s="1">
        <v>3.2799173592512373E-2</v>
      </c>
      <c r="N277" s="1">
        <v>3.2799173592512373E-2</v>
      </c>
      <c r="O277" s="1">
        <v>3.2153285242908551E-2</v>
      </c>
      <c r="P277" s="1"/>
    </row>
    <row r="278" spans="1:16" x14ac:dyDescent="0.25">
      <c r="A278" s="2">
        <v>269</v>
      </c>
      <c r="B278" s="1" t="s">
        <v>57</v>
      </c>
      <c r="C278" s="1" t="s">
        <v>63</v>
      </c>
      <c r="D278" s="1">
        <v>1.9010858686498482E-2</v>
      </c>
      <c r="E278" s="1">
        <v>1.992272534358501E-2</v>
      </c>
      <c r="F278" s="1">
        <v>2.052771440169833E-2</v>
      </c>
      <c r="G278" s="1">
        <v>2.0483903622614541E-2</v>
      </c>
      <c r="H278" s="1">
        <v>2.0629031222149159E-2</v>
      </c>
      <c r="I278" s="1">
        <v>2.1334755443978729E-2</v>
      </c>
      <c r="J278" s="1">
        <v>2.1742103592681802E-2</v>
      </c>
      <c r="K278" s="1">
        <v>2.1742103592681739E-2</v>
      </c>
      <c r="L278" s="1">
        <v>2.174210359268175E-2</v>
      </c>
      <c r="M278" s="1">
        <v>2.174210359268175E-2</v>
      </c>
      <c r="N278" s="1">
        <v>2.174210359268175E-2</v>
      </c>
      <c r="O278" s="1">
        <v>2.096540969853937E-2</v>
      </c>
      <c r="P278" s="1"/>
    </row>
    <row r="279" spans="1:16" x14ac:dyDescent="0.25">
      <c r="A279" s="2">
        <v>270</v>
      </c>
      <c r="B279" s="1" t="s">
        <v>57</v>
      </c>
      <c r="C279" s="1" t="s">
        <v>64</v>
      </c>
      <c r="D279" s="1">
        <v>3.1007968884276579E-2</v>
      </c>
      <c r="E279" s="1">
        <v>3.0975909280880062E-2</v>
      </c>
      <c r="F279" s="1">
        <v>3.1519421529352713E-2</v>
      </c>
      <c r="G279" s="1">
        <v>3.0495130792411961E-2</v>
      </c>
      <c r="H279" s="1">
        <v>3.0243666773281639E-2</v>
      </c>
      <c r="I279" s="1">
        <v>3.0892143350234789E-2</v>
      </c>
      <c r="J279" s="1">
        <v>3.417194552410064E-2</v>
      </c>
      <c r="K279" s="1">
        <v>3.4171945524100668E-2</v>
      </c>
      <c r="L279" s="1">
        <v>3.4171945524100668E-2</v>
      </c>
      <c r="M279" s="1">
        <v>3.4171945524100668E-2</v>
      </c>
      <c r="N279" s="1">
        <v>3.4171945524100668E-2</v>
      </c>
      <c r="O279" s="1">
        <v>3.2363088020994642E-2</v>
      </c>
      <c r="P279" s="1"/>
    </row>
    <row r="280" spans="1:16" x14ac:dyDescent="0.25">
      <c r="A280" s="2">
        <v>271</v>
      </c>
      <c r="B280" s="1" t="s">
        <v>57</v>
      </c>
      <c r="C280" s="1" t="s">
        <v>65</v>
      </c>
      <c r="D280" s="1">
        <v>1.8100223110477199E-2</v>
      </c>
      <c r="E280" s="1">
        <v>1.79709760558458E-2</v>
      </c>
      <c r="F280" s="1">
        <v>1.8101470629799121E-2</v>
      </c>
      <c r="G280" s="1">
        <v>1.771284519105374E-2</v>
      </c>
      <c r="H280" s="1">
        <v>1.7494038976974529E-2</v>
      </c>
      <c r="I280" s="1">
        <v>1.7532593931051981E-2</v>
      </c>
      <c r="J280" s="1">
        <v>1.897546292815866E-2</v>
      </c>
      <c r="K280" s="1">
        <v>1.8975462928158639E-2</v>
      </c>
      <c r="L280" s="1">
        <v>1.8975462928158639E-2</v>
      </c>
      <c r="M280" s="1">
        <v>1.8975462928158639E-2</v>
      </c>
      <c r="N280" s="1">
        <v>1.8975462928158639E-2</v>
      </c>
      <c r="O280" s="1">
        <v>1.8344496594181411E-2</v>
      </c>
      <c r="P280" s="1"/>
    </row>
    <row r="281" spans="1:16" x14ac:dyDescent="0.25">
      <c r="A281" s="2">
        <v>272</v>
      </c>
      <c r="B281" s="1" t="s">
        <v>57</v>
      </c>
      <c r="C281" s="1" t="s">
        <v>66</v>
      </c>
      <c r="D281" s="1">
        <v>4.6701271937031011E-2</v>
      </c>
      <c r="E281" s="1">
        <v>4.7609382831067047E-2</v>
      </c>
      <c r="F281" s="1">
        <v>4.9246116647845277E-2</v>
      </c>
      <c r="G281" s="1">
        <v>4.8676671602516063E-2</v>
      </c>
      <c r="H281" s="1">
        <v>4.8597266618278213E-2</v>
      </c>
      <c r="I281" s="1">
        <v>4.971676413910401E-2</v>
      </c>
      <c r="J281" s="1">
        <v>5.3693082903854203E-2</v>
      </c>
      <c r="K281" s="1">
        <v>5.3693082903854307E-2</v>
      </c>
      <c r="L281" s="1">
        <v>5.3693082903854321E-2</v>
      </c>
      <c r="M281" s="1">
        <v>5.3693082903854307E-2</v>
      </c>
      <c r="N281" s="1">
        <v>5.3693082903854307E-2</v>
      </c>
      <c r="O281" s="1">
        <v>5.0819353481373918E-2</v>
      </c>
      <c r="P281" s="1"/>
    </row>
    <row r="282" spans="1:16" x14ac:dyDescent="0.25">
      <c r="A282" s="2">
        <v>273</v>
      </c>
      <c r="B282" s="1" t="s">
        <v>57</v>
      </c>
      <c r="C282" s="1" t="s">
        <v>67</v>
      </c>
      <c r="D282" s="1">
        <v>7.2005097201358363E-3</v>
      </c>
      <c r="E282" s="1">
        <v>7.1209890611695879E-3</v>
      </c>
      <c r="F282" s="1">
        <v>6.8816606666106976E-3</v>
      </c>
      <c r="G282" s="1">
        <v>6.7953609124169591E-3</v>
      </c>
      <c r="H282" s="1">
        <v>6.6477373173108711E-3</v>
      </c>
      <c r="I282" s="1">
        <v>6.5644817899896081E-3</v>
      </c>
      <c r="J282" s="1">
        <v>6.0493588993680222E-3</v>
      </c>
      <c r="K282" s="1">
        <v>6.0493588993680118E-3</v>
      </c>
      <c r="L282" s="1">
        <v>6.0493588993680144E-3</v>
      </c>
      <c r="M282" s="1">
        <v>6.0493588993680118E-3</v>
      </c>
      <c r="N282" s="1">
        <v>6.0493588993680127E-3</v>
      </c>
      <c r="O282" s="1">
        <v>6.4961394513157857E-3</v>
      </c>
      <c r="P282" s="1"/>
    </row>
    <row r="283" spans="1:16" x14ac:dyDescent="0.25">
      <c r="A283" s="2">
        <v>274</v>
      </c>
      <c r="B283" s="1" t="s">
        <v>57</v>
      </c>
      <c r="C283" s="1" t="s">
        <v>68</v>
      </c>
      <c r="D283" s="1">
        <v>1.0205747686174891E-2</v>
      </c>
      <c r="E283" s="1">
        <v>9.8970066952518958E-3</v>
      </c>
      <c r="F283" s="1">
        <v>9.8688564167601703E-3</v>
      </c>
      <c r="G283" s="1">
        <v>9.8036135961542502E-3</v>
      </c>
      <c r="H283" s="1">
        <v>9.5454414293194619E-3</v>
      </c>
      <c r="I283" s="1">
        <v>9.712149599971848E-3</v>
      </c>
      <c r="J283" s="1">
        <v>8.8347322241116022E-3</v>
      </c>
      <c r="K283" s="1">
        <v>8.8347322241116161E-3</v>
      </c>
      <c r="L283" s="1">
        <v>8.8347322241116195E-3</v>
      </c>
      <c r="M283" s="1">
        <v>8.8347322241116178E-3</v>
      </c>
      <c r="N283" s="1">
        <v>8.8347322241116195E-3</v>
      </c>
      <c r="O283" s="1">
        <v>9.3824069585627806E-3</v>
      </c>
      <c r="P283" s="1"/>
    </row>
    <row r="284" spans="1:16" x14ac:dyDescent="0.25">
      <c r="A284" s="2">
        <v>275</v>
      </c>
      <c r="B284" s="1" t="s">
        <v>57</v>
      </c>
      <c r="C284" s="1" t="s">
        <v>69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/>
    </row>
    <row r="285" spans="1:16" x14ac:dyDescent="0.25">
      <c r="A285" s="2">
        <v>276</v>
      </c>
      <c r="B285" s="1" t="s">
        <v>61</v>
      </c>
      <c r="C285" s="1" t="s">
        <v>18</v>
      </c>
      <c r="D285" s="1">
        <v>1.234995767985334E-2</v>
      </c>
      <c r="E285" s="1">
        <v>1.1137131219670681E-2</v>
      </c>
      <c r="F285" s="1">
        <v>1.0365299912993861E-2</v>
      </c>
      <c r="G285" s="1">
        <v>1.031790776286254E-2</v>
      </c>
      <c r="H285" s="1">
        <v>9.7702335767389306E-3</v>
      </c>
      <c r="I285" s="1">
        <v>9.3531403753986941E-3</v>
      </c>
      <c r="J285" s="1">
        <v>1.0097088448159E-2</v>
      </c>
      <c r="K285" s="1">
        <v>1.0097088448159019E-2</v>
      </c>
      <c r="L285" s="1">
        <v>1.0097088448159019E-2</v>
      </c>
      <c r="M285" s="1">
        <v>1.0097088448159019E-2</v>
      </c>
      <c r="N285" s="1">
        <v>1.0097088448159019E-2</v>
      </c>
      <c r="O285" s="1">
        <v>1.034355570621028E-2</v>
      </c>
      <c r="P285" s="1"/>
    </row>
    <row r="286" spans="1:16" x14ac:dyDescent="0.25">
      <c r="A286" s="2">
        <v>277</v>
      </c>
      <c r="B286" s="1" t="s">
        <v>61</v>
      </c>
      <c r="C286" s="1" t="s">
        <v>20</v>
      </c>
      <c r="D286" s="1">
        <v>1.3910020213804349E-4</v>
      </c>
      <c r="E286" s="1">
        <v>1.2612671867340641E-4</v>
      </c>
      <c r="F286" s="1">
        <v>1.3160219242100459E-4</v>
      </c>
      <c r="G286" s="1">
        <v>1.3275669294437521E-4</v>
      </c>
      <c r="H286" s="1">
        <v>1.221964875636597E-4</v>
      </c>
      <c r="I286" s="1">
        <v>1.1608507924778981E-4</v>
      </c>
      <c r="J286" s="1">
        <v>1.0089248167108671E-4</v>
      </c>
      <c r="K286" s="1">
        <v>1.008924816710002E-4</v>
      </c>
      <c r="L286" s="1">
        <v>1.008924816710002E-4</v>
      </c>
      <c r="M286" s="1">
        <v>1.008924816710002E-4</v>
      </c>
      <c r="N286" s="1">
        <v>1.008924816710002E-4</v>
      </c>
      <c r="O286" s="1">
        <v>1.156663437584879E-4</v>
      </c>
      <c r="P286" s="1"/>
    </row>
    <row r="287" spans="1:16" x14ac:dyDescent="0.25">
      <c r="A287" s="2">
        <v>278</v>
      </c>
      <c r="B287" s="1" t="s">
        <v>61</v>
      </c>
      <c r="C287" s="1" t="s">
        <v>22</v>
      </c>
      <c r="D287" s="1">
        <v>1.256462408477063E-2</v>
      </c>
      <c r="E287" s="1">
        <v>7.2651173968326637E-3</v>
      </c>
      <c r="F287" s="1">
        <v>6.0411146520369602E-3</v>
      </c>
      <c r="G287" s="1">
        <v>7.4969635038077756E-3</v>
      </c>
      <c r="H287" s="1">
        <v>9.2646742150960561E-3</v>
      </c>
      <c r="I287" s="1">
        <v>8.2199010192460214E-3</v>
      </c>
      <c r="J287" s="1">
        <v>5.7007657753065629E-3</v>
      </c>
      <c r="K287" s="1">
        <v>5.7007657753065134E-3</v>
      </c>
      <c r="L287" s="1">
        <v>5.7007657753065134E-3</v>
      </c>
      <c r="M287" s="1">
        <v>5.7007657753065134E-3</v>
      </c>
      <c r="N287" s="1">
        <v>5.7007657753065134E-3</v>
      </c>
      <c r="O287" s="1">
        <v>7.2142021589384287E-3</v>
      </c>
      <c r="P287" s="1"/>
    </row>
    <row r="288" spans="1:16" x14ac:dyDescent="0.25">
      <c r="A288" s="2">
        <v>279</v>
      </c>
      <c r="B288" s="1" t="s">
        <v>61</v>
      </c>
      <c r="C288" s="1" t="s">
        <v>24</v>
      </c>
      <c r="D288" s="1">
        <v>1.6926323846960759E-3</v>
      </c>
      <c r="E288" s="1">
        <v>1.574515238296482E-3</v>
      </c>
      <c r="F288" s="1">
        <v>1.508196387384915E-3</v>
      </c>
      <c r="G288" s="1">
        <v>1.562341433205616E-3</v>
      </c>
      <c r="H288" s="1">
        <v>1.5519948154473909E-3</v>
      </c>
      <c r="I288" s="1">
        <v>1.5433638982682771E-3</v>
      </c>
      <c r="J288" s="1">
        <v>1.5065781159991889E-3</v>
      </c>
      <c r="K288" s="1">
        <v>1.5065781159991031E-3</v>
      </c>
      <c r="L288" s="1">
        <v>1.5065781159991031E-3</v>
      </c>
      <c r="M288" s="1">
        <v>1.5065781159991031E-3</v>
      </c>
      <c r="N288" s="1">
        <v>1.5065781159991031E-3</v>
      </c>
      <c r="O288" s="1">
        <v>1.5423577033903959E-3</v>
      </c>
      <c r="P288" s="1"/>
    </row>
    <row r="289" spans="1:16" x14ac:dyDescent="0.25">
      <c r="A289" s="2">
        <v>280</v>
      </c>
      <c r="B289" s="1" t="s">
        <v>61</v>
      </c>
      <c r="C289" s="1" t="s">
        <v>26</v>
      </c>
      <c r="D289" s="1">
        <v>3.7717822658813508E-3</v>
      </c>
      <c r="E289" s="1">
        <v>2.9234559645967121E-3</v>
      </c>
      <c r="F289" s="1">
        <v>1.461306625177897E-3</v>
      </c>
      <c r="G289" s="1">
        <v>1.9826352250480782E-3</v>
      </c>
      <c r="H289" s="1">
        <v>2.257594464133132E-3</v>
      </c>
      <c r="I289" s="1">
        <v>2.217288086491377E-3</v>
      </c>
      <c r="J289" s="1">
        <v>1.3197440920456249E-3</v>
      </c>
      <c r="K289" s="1">
        <v>1.319744092045603E-3</v>
      </c>
      <c r="L289" s="1">
        <v>1.319744092045603E-3</v>
      </c>
      <c r="M289" s="1">
        <v>1.319744092045603E-3</v>
      </c>
      <c r="N289" s="1">
        <v>1.319744092045603E-3</v>
      </c>
      <c r="O289" s="1">
        <v>1.9284348265051429E-3</v>
      </c>
      <c r="P289" s="1"/>
    </row>
    <row r="290" spans="1:16" x14ac:dyDescent="0.25">
      <c r="A290" s="2">
        <v>281</v>
      </c>
      <c r="B290" s="1" t="s">
        <v>61</v>
      </c>
      <c r="C290" s="1" t="s">
        <v>28</v>
      </c>
      <c r="D290" s="1">
        <v>2.2896242218212709E-2</v>
      </c>
      <c r="E290" s="1">
        <v>2.2364566500562979E-2</v>
      </c>
      <c r="F290" s="1">
        <v>2.1872370281655978E-2</v>
      </c>
      <c r="G290" s="1">
        <v>2.0797100567526421E-2</v>
      </c>
      <c r="H290" s="1">
        <v>1.9929786859910079E-2</v>
      </c>
      <c r="I290" s="1">
        <v>1.973252992711497E-2</v>
      </c>
      <c r="J290" s="1">
        <v>2.064885204388852E-2</v>
      </c>
      <c r="K290" s="1">
        <v>2.0648852043888551E-2</v>
      </c>
      <c r="L290" s="1">
        <v>2.0648852043888541E-2</v>
      </c>
      <c r="M290" s="1">
        <v>2.0648852043888541E-2</v>
      </c>
      <c r="N290" s="1">
        <v>2.0648852043888541E-2</v>
      </c>
      <c r="O290" s="1">
        <v>2.098516877949326E-2</v>
      </c>
      <c r="P290" s="1"/>
    </row>
    <row r="291" spans="1:16" x14ac:dyDescent="0.25">
      <c r="A291" s="2">
        <v>282</v>
      </c>
      <c r="B291" s="1" t="s">
        <v>61</v>
      </c>
      <c r="C291" s="1" t="s">
        <v>30</v>
      </c>
      <c r="D291" s="1">
        <v>1.8538886936474909E-3</v>
      </c>
      <c r="E291" s="1">
        <v>1.749609942657443E-3</v>
      </c>
      <c r="F291" s="1">
        <v>1.6899226915012061E-3</v>
      </c>
      <c r="G291" s="1">
        <v>1.5297411687047681E-3</v>
      </c>
      <c r="H291" s="1">
        <v>1.4488559059224349E-3</v>
      </c>
      <c r="I291" s="1">
        <v>1.396629545669966E-3</v>
      </c>
      <c r="J291" s="1">
        <v>1.343051952844256E-3</v>
      </c>
      <c r="K291" s="1">
        <v>1.3430519528442029E-3</v>
      </c>
      <c r="L291" s="1">
        <v>1.3430519528442029E-3</v>
      </c>
      <c r="M291" s="1">
        <v>1.3430519528442029E-3</v>
      </c>
      <c r="N291" s="1">
        <v>1.3430519528442029E-3</v>
      </c>
      <c r="O291" s="1">
        <v>1.4894461556658519E-3</v>
      </c>
      <c r="P291" s="1"/>
    </row>
    <row r="292" spans="1:16" x14ac:dyDescent="0.25">
      <c r="A292" s="2">
        <v>283</v>
      </c>
      <c r="B292" s="1" t="s">
        <v>61</v>
      </c>
      <c r="C292" s="1" t="s">
        <v>32</v>
      </c>
      <c r="D292" s="1">
        <v>2.4149933378519901E-3</v>
      </c>
      <c r="E292" s="1">
        <v>2.4466011141317241E-3</v>
      </c>
      <c r="F292" s="1">
        <v>2.4798134827771442E-3</v>
      </c>
      <c r="G292" s="1">
        <v>2.5317271548715319E-3</v>
      </c>
      <c r="H292" s="1">
        <v>2.5731115890062E-3</v>
      </c>
      <c r="I292" s="1">
        <v>2.3124453844621091E-3</v>
      </c>
      <c r="J292" s="1">
        <v>2.5697290831159922E-3</v>
      </c>
      <c r="K292" s="1">
        <v>2.569729083115905E-3</v>
      </c>
      <c r="L292" s="1">
        <v>2.5697290831159058E-3</v>
      </c>
      <c r="M292" s="1">
        <v>2.569729083115905E-3</v>
      </c>
      <c r="N292" s="1">
        <v>2.5697290831159058E-3</v>
      </c>
      <c r="O292" s="1">
        <v>2.5097579526073021E-3</v>
      </c>
      <c r="P292" s="1"/>
    </row>
    <row r="293" spans="1:16" x14ac:dyDescent="0.25">
      <c r="A293" s="2">
        <v>284</v>
      </c>
      <c r="B293" s="1" t="s">
        <v>61</v>
      </c>
      <c r="C293" s="1" t="s">
        <v>33</v>
      </c>
      <c r="D293" s="1">
        <v>6.6101480738714928E-3</v>
      </c>
      <c r="E293" s="1">
        <v>6.4232097196202688E-3</v>
      </c>
      <c r="F293" s="1">
        <v>6.2221077103778479E-3</v>
      </c>
      <c r="G293" s="1">
        <v>6.0082430309520837E-3</v>
      </c>
      <c r="H293" s="1">
        <v>5.8479530284141421E-3</v>
      </c>
      <c r="I293" s="1">
        <v>5.6411289384075856E-3</v>
      </c>
      <c r="J293" s="1">
        <v>5.3459139801729956E-3</v>
      </c>
      <c r="K293" s="1">
        <v>5.3459139801729106E-3</v>
      </c>
      <c r="L293" s="1">
        <v>5.3459139801729106E-3</v>
      </c>
      <c r="M293" s="1">
        <v>5.3459139801729106E-3</v>
      </c>
      <c r="N293" s="1">
        <v>5.3459139801729106E-3</v>
      </c>
      <c r="O293" s="1">
        <v>5.7711236729552778E-3</v>
      </c>
      <c r="P293" s="1"/>
    </row>
    <row r="294" spans="1:16" x14ac:dyDescent="0.25">
      <c r="A294" s="2">
        <v>285</v>
      </c>
      <c r="B294" s="1" t="s">
        <v>61</v>
      </c>
      <c r="C294" s="1" t="s">
        <v>34</v>
      </c>
      <c r="D294" s="1">
        <v>1.8435097719781711E-2</v>
      </c>
      <c r="E294" s="1">
        <v>1.1587202797523869E-2</v>
      </c>
      <c r="F294" s="1">
        <v>9.7220464119802102E-3</v>
      </c>
      <c r="G294" s="1">
        <v>1.159707194894246E-2</v>
      </c>
      <c r="H294" s="1">
        <v>1.3696458919438499E-2</v>
      </c>
      <c r="I294" s="1">
        <v>1.176902938387671E-2</v>
      </c>
      <c r="J294" s="1">
        <v>6.9102841194280708E-3</v>
      </c>
      <c r="K294" s="1">
        <v>6.9102841194280161E-3</v>
      </c>
      <c r="L294" s="1">
        <v>6.9102841194280144E-3</v>
      </c>
      <c r="M294" s="1">
        <v>6.9102841194280153E-3</v>
      </c>
      <c r="N294" s="1">
        <v>6.9102841194280144E-3</v>
      </c>
      <c r="O294" s="1">
        <v>1.0123484343516689E-2</v>
      </c>
      <c r="P294" s="1"/>
    </row>
    <row r="295" spans="1:16" x14ac:dyDescent="0.25">
      <c r="A295" s="2">
        <v>286</v>
      </c>
      <c r="B295" s="1" t="s">
        <v>61</v>
      </c>
      <c r="C295" s="1" t="s">
        <v>35</v>
      </c>
      <c r="D295" s="1">
        <v>1.430092432204519E-2</v>
      </c>
      <c r="E295" s="1">
        <v>1.248929943102787E-2</v>
      </c>
      <c r="F295" s="1">
        <v>1.190348818826008E-2</v>
      </c>
      <c r="G295" s="1">
        <v>1.1816545028049181E-2</v>
      </c>
      <c r="H295" s="1">
        <v>1.177971525964229E-2</v>
      </c>
      <c r="I295" s="1">
        <v>1.066710311706171E-2</v>
      </c>
      <c r="J295" s="1">
        <v>9.7664512703737293E-3</v>
      </c>
      <c r="K295" s="1">
        <v>9.7664512703737223E-3</v>
      </c>
      <c r="L295" s="1">
        <v>9.7664512703737206E-3</v>
      </c>
      <c r="M295" s="1">
        <v>9.7664512703737189E-3</v>
      </c>
      <c r="N295" s="1">
        <v>9.7664512703737206E-3</v>
      </c>
      <c r="O295" s="1">
        <v>1.107175742708681E-2</v>
      </c>
      <c r="P295" s="1"/>
    </row>
    <row r="296" spans="1:16" x14ac:dyDescent="0.25">
      <c r="A296" s="2">
        <v>287</v>
      </c>
      <c r="B296" s="1" t="s">
        <v>61</v>
      </c>
      <c r="C296" s="1" t="s">
        <v>36</v>
      </c>
      <c r="D296" s="1">
        <v>6.166220486293731E-3</v>
      </c>
      <c r="E296" s="1">
        <v>6.4547298725562731E-3</v>
      </c>
      <c r="F296" s="1">
        <v>6.471017362045005E-3</v>
      </c>
      <c r="G296" s="1">
        <v>5.9939323786445979E-3</v>
      </c>
      <c r="H296" s="1">
        <v>5.8356772397269666E-3</v>
      </c>
      <c r="I296" s="1">
        <v>6.0791316840208189E-3</v>
      </c>
      <c r="J296" s="1">
        <v>6.3018188435625946E-3</v>
      </c>
      <c r="K296" s="1">
        <v>6.3018188435625131E-3</v>
      </c>
      <c r="L296" s="1">
        <v>6.3018188435625131E-3</v>
      </c>
      <c r="M296" s="1">
        <v>6.3018188435625131E-3</v>
      </c>
      <c r="N296" s="1">
        <v>6.3018188435625131E-3</v>
      </c>
      <c r="O296" s="1">
        <v>6.2281639310090946E-3</v>
      </c>
      <c r="P296" s="1"/>
    </row>
    <row r="297" spans="1:16" x14ac:dyDescent="0.25">
      <c r="A297" s="2">
        <v>288</v>
      </c>
      <c r="B297" s="1" t="s">
        <v>61</v>
      </c>
      <c r="C297" s="1" t="s">
        <v>37</v>
      </c>
      <c r="D297" s="1">
        <v>5.7172569692926171E-3</v>
      </c>
      <c r="E297" s="1">
        <v>5.6531414917509702E-3</v>
      </c>
      <c r="F297" s="1">
        <v>5.4670638906611242E-3</v>
      </c>
      <c r="G297" s="1">
        <v>5.3471348782902261E-3</v>
      </c>
      <c r="H297" s="1">
        <v>5.3924074883365206E-3</v>
      </c>
      <c r="I297" s="1">
        <v>5.1724996670321757E-3</v>
      </c>
      <c r="J297" s="1">
        <v>4.9831143584448366E-3</v>
      </c>
      <c r="K297" s="1">
        <v>4.9831143584448106E-3</v>
      </c>
      <c r="L297" s="1">
        <v>4.9831143584448097E-3</v>
      </c>
      <c r="M297" s="1">
        <v>4.9831143584448106E-3</v>
      </c>
      <c r="N297" s="1">
        <v>4.9831143584448106E-3</v>
      </c>
      <c r="O297" s="1">
        <v>5.2422796525079746E-3</v>
      </c>
      <c r="P297" s="1"/>
    </row>
    <row r="298" spans="1:16" x14ac:dyDescent="0.25">
      <c r="A298" s="2">
        <v>289</v>
      </c>
      <c r="B298" s="1" t="s">
        <v>61</v>
      </c>
      <c r="C298" s="1" t="s">
        <v>39</v>
      </c>
      <c r="D298" s="1">
        <v>3.3666055604214731E-3</v>
      </c>
      <c r="E298" s="1">
        <v>3.431241284637673E-3</v>
      </c>
      <c r="F298" s="1">
        <v>3.4806963391662928E-3</v>
      </c>
      <c r="G298" s="1">
        <v>3.4061574361156852E-3</v>
      </c>
      <c r="H298" s="1">
        <v>3.3681494328049941E-3</v>
      </c>
      <c r="I298" s="1">
        <v>3.3554409217264889E-3</v>
      </c>
      <c r="J298" s="1">
        <v>3.3845679322121631E-3</v>
      </c>
      <c r="K298" s="1">
        <v>3.3845679322121072E-3</v>
      </c>
      <c r="L298" s="1">
        <v>3.3845679322121072E-3</v>
      </c>
      <c r="M298" s="1">
        <v>3.3845679322121072E-3</v>
      </c>
      <c r="N298" s="1">
        <v>3.3845679322121081E-3</v>
      </c>
      <c r="O298" s="1">
        <v>3.3937391487212001E-3</v>
      </c>
      <c r="P298" s="1"/>
    </row>
    <row r="299" spans="1:16" x14ac:dyDescent="0.25">
      <c r="A299" s="2">
        <v>290</v>
      </c>
      <c r="B299" s="1" t="s">
        <v>61</v>
      </c>
      <c r="C299" s="1" t="s">
        <v>40</v>
      </c>
      <c r="D299" s="1">
        <v>7.3076565170582244E-3</v>
      </c>
      <c r="E299" s="1">
        <v>6.1823131469851741E-3</v>
      </c>
      <c r="F299" s="1">
        <v>5.4680296868766234E-3</v>
      </c>
      <c r="G299" s="1">
        <v>5.6325294603266872E-3</v>
      </c>
      <c r="H299" s="1">
        <v>6.0426685930119687E-3</v>
      </c>
      <c r="I299" s="1">
        <v>5.4629160594654629E-3</v>
      </c>
      <c r="J299" s="1">
        <v>4.7049256664809308E-3</v>
      </c>
      <c r="K299" s="1">
        <v>4.7049256664809108E-3</v>
      </c>
      <c r="L299" s="1">
        <v>4.70492566648091E-3</v>
      </c>
      <c r="M299" s="1">
        <v>4.70492566648091E-3</v>
      </c>
      <c r="N299" s="1">
        <v>4.70492566648091E-3</v>
      </c>
      <c r="O299" s="1">
        <v>5.4200674360117013E-3</v>
      </c>
      <c r="P299" s="1"/>
    </row>
    <row r="300" spans="1:16" x14ac:dyDescent="0.25">
      <c r="A300" s="2">
        <v>291</v>
      </c>
      <c r="B300" s="1" t="s">
        <v>61</v>
      </c>
      <c r="C300" s="1" t="s">
        <v>41</v>
      </c>
      <c r="D300" s="1">
        <v>9.2878647592826227E-3</v>
      </c>
      <c r="E300" s="1">
        <v>8.9851703710737123E-3</v>
      </c>
      <c r="F300" s="1">
        <v>8.5744621953095668E-3</v>
      </c>
      <c r="G300" s="1">
        <v>8.2694417234291367E-3</v>
      </c>
      <c r="H300" s="1">
        <v>8.4610161063490164E-3</v>
      </c>
      <c r="I300" s="1">
        <v>8.3052416988647574E-3</v>
      </c>
      <c r="J300" s="1">
        <v>7.690896071878753E-3</v>
      </c>
      <c r="K300" s="1">
        <v>7.6908960718787157E-3</v>
      </c>
      <c r="L300" s="1">
        <v>7.6908960718787157E-3</v>
      </c>
      <c r="M300" s="1">
        <v>7.6908960718787174E-3</v>
      </c>
      <c r="N300" s="1">
        <v>7.6908960718787174E-3</v>
      </c>
      <c r="O300" s="1">
        <v>8.2125161103365832E-3</v>
      </c>
      <c r="P300" s="1"/>
    </row>
    <row r="301" spans="1:16" x14ac:dyDescent="0.25">
      <c r="A301" s="2">
        <v>292</v>
      </c>
      <c r="B301" s="1" t="s">
        <v>61</v>
      </c>
      <c r="C301" s="1" t="s">
        <v>19</v>
      </c>
      <c r="D301" s="1">
        <v>8.7144453841211163E-3</v>
      </c>
      <c r="E301" s="1">
        <v>8.9322226293760687E-3</v>
      </c>
      <c r="F301" s="1">
        <v>8.761086296449911E-3</v>
      </c>
      <c r="G301" s="1">
        <v>8.7349188153089726E-3</v>
      </c>
      <c r="H301" s="1">
        <v>8.9964903372293913E-3</v>
      </c>
      <c r="I301" s="1">
        <v>8.7940087898128946E-3</v>
      </c>
      <c r="J301" s="1">
        <v>9.1870970972247196E-3</v>
      </c>
      <c r="K301" s="1">
        <v>9.1870970972247196E-3</v>
      </c>
      <c r="L301" s="1">
        <v>9.1870970972247196E-3</v>
      </c>
      <c r="M301" s="1">
        <v>9.1870970972247196E-3</v>
      </c>
      <c r="N301" s="1">
        <v>9.1870970972247196E-3</v>
      </c>
      <c r="O301" s="1">
        <v>8.9880597944019952E-3</v>
      </c>
      <c r="P301" s="1"/>
    </row>
    <row r="302" spans="1:16" x14ac:dyDescent="0.25">
      <c r="A302" s="2">
        <v>293</v>
      </c>
      <c r="B302" s="1" t="s">
        <v>61</v>
      </c>
      <c r="C302" s="1" t="s">
        <v>42</v>
      </c>
      <c r="D302" s="1">
        <v>3.1370593719127361E-3</v>
      </c>
      <c r="E302" s="1">
        <v>3.1219147487534901E-3</v>
      </c>
      <c r="F302" s="1">
        <v>2.8786683360687601E-3</v>
      </c>
      <c r="G302" s="1">
        <v>2.783399201670104E-3</v>
      </c>
      <c r="H302" s="1">
        <v>2.81533182024649E-3</v>
      </c>
      <c r="I302" s="1">
        <v>2.7353561391899699E-3</v>
      </c>
      <c r="J302" s="1">
        <v>2.67735686808852E-3</v>
      </c>
      <c r="K302" s="1">
        <v>2.6773568680885061E-3</v>
      </c>
      <c r="L302" s="1">
        <v>2.6773568680885048E-3</v>
      </c>
      <c r="M302" s="1">
        <v>2.6773568680885061E-3</v>
      </c>
      <c r="N302" s="1">
        <v>2.6773568680885061E-3</v>
      </c>
      <c r="O302" s="1">
        <v>2.805319450753099E-3</v>
      </c>
      <c r="P302" s="1"/>
    </row>
    <row r="303" spans="1:16" x14ac:dyDescent="0.25">
      <c r="A303" s="2">
        <v>294</v>
      </c>
      <c r="B303" s="1" t="s">
        <v>61</v>
      </c>
      <c r="C303" s="1" t="s">
        <v>43</v>
      </c>
      <c r="D303" s="1">
        <v>1.0118676633484751E-2</v>
      </c>
      <c r="E303" s="1">
        <v>9.168137226957071E-3</v>
      </c>
      <c r="F303" s="1">
        <v>8.3480031529663268E-3</v>
      </c>
      <c r="G303" s="1">
        <v>8.2310396592998256E-3</v>
      </c>
      <c r="H303" s="1">
        <v>8.4116515366553287E-3</v>
      </c>
      <c r="I303" s="1">
        <v>8.2528043718052366E-3</v>
      </c>
      <c r="J303" s="1">
        <v>7.5264694783826426E-3</v>
      </c>
      <c r="K303" s="1">
        <v>7.5264694783826174E-3</v>
      </c>
      <c r="L303" s="1">
        <v>7.5264694783826157E-3</v>
      </c>
      <c r="M303" s="1">
        <v>7.5264694783826157E-3</v>
      </c>
      <c r="N303" s="1">
        <v>7.5264694783826157E-3</v>
      </c>
      <c r="O303" s="1">
        <v>8.1966054520983336E-3</v>
      </c>
      <c r="P303" s="1"/>
    </row>
    <row r="304" spans="1:16" x14ac:dyDescent="0.25">
      <c r="A304" s="2">
        <v>295</v>
      </c>
      <c r="B304" s="1" t="s">
        <v>61</v>
      </c>
      <c r="C304" s="1" t="s">
        <v>45</v>
      </c>
      <c r="D304" s="1">
        <v>1.4692708230948081E-2</v>
      </c>
      <c r="E304" s="1">
        <v>1.547150775706377E-2</v>
      </c>
      <c r="F304" s="1">
        <v>1.5339836209314679E-2</v>
      </c>
      <c r="G304" s="1">
        <v>1.450693859300228E-2</v>
      </c>
      <c r="H304" s="1">
        <v>1.4396247442461881E-2</v>
      </c>
      <c r="I304" s="1">
        <v>1.398625543149078E-2</v>
      </c>
      <c r="J304" s="1">
        <v>1.2870991692688721E-2</v>
      </c>
      <c r="K304" s="1">
        <v>1.2870991692688729E-2</v>
      </c>
      <c r="L304" s="1">
        <v>1.2870991692688729E-2</v>
      </c>
      <c r="M304" s="1">
        <v>1.2870991692688729E-2</v>
      </c>
      <c r="N304" s="1">
        <v>1.2870991692688729E-2</v>
      </c>
      <c r="O304" s="1">
        <v>1.388622292070228E-2</v>
      </c>
      <c r="P304" s="1"/>
    </row>
    <row r="305" spans="1:16" x14ac:dyDescent="0.25">
      <c r="A305" s="2">
        <v>296</v>
      </c>
      <c r="B305" s="1" t="s">
        <v>61</v>
      </c>
      <c r="C305" s="1" t="s">
        <v>46</v>
      </c>
      <c r="D305" s="1">
        <v>8.0509220296068433E-3</v>
      </c>
      <c r="E305" s="1">
        <v>8.0480518846809193E-3</v>
      </c>
      <c r="F305" s="1">
        <v>7.3347476639786247E-3</v>
      </c>
      <c r="G305" s="1">
        <v>7.6729582275119881E-3</v>
      </c>
      <c r="H305" s="1">
        <v>7.3099803906221516E-3</v>
      </c>
      <c r="I305" s="1">
        <v>6.9977640878425406E-3</v>
      </c>
      <c r="J305" s="1">
        <v>5.630608123196686E-3</v>
      </c>
      <c r="K305" s="1">
        <v>5.6306081231966123E-3</v>
      </c>
      <c r="L305" s="1">
        <v>5.6306081231966114E-3</v>
      </c>
      <c r="M305" s="1">
        <v>5.6306081231966114E-3</v>
      </c>
      <c r="N305" s="1">
        <v>5.6306081231966123E-3</v>
      </c>
      <c r="O305" s="1">
        <v>6.687951354566019E-3</v>
      </c>
      <c r="P305" s="1"/>
    </row>
    <row r="306" spans="1:16" x14ac:dyDescent="0.25">
      <c r="A306" s="2">
        <v>297</v>
      </c>
      <c r="B306" s="1" t="s">
        <v>61</v>
      </c>
      <c r="C306" s="1" t="s">
        <v>47</v>
      </c>
      <c r="D306" s="1">
        <v>6.3563937364418373E-3</v>
      </c>
      <c r="E306" s="1">
        <v>6.4267089928925544E-3</v>
      </c>
      <c r="F306" s="1">
        <v>6.1436432935186736E-3</v>
      </c>
      <c r="G306" s="1">
        <v>5.9430855790089812E-3</v>
      </c>
      <c r="H306" s="1">
        <v>5.9086441505603344E-3</v>
      </c>
      <c r="I306" s="1">
        <v>5.6625075355263817E-3</v>
      </c>
      <c r="J306" s="1">
        <v>5.5972985267816683E-3</v>
      </c>
      <c r="K306" s="1">
        <v>5.5972985267816111E-3</v>
      </c>
      <c r="L306" s="1">
        <v>5.5972985267816111E-3</v>
      </c>
      <c r="M306" s="1">
        <v>5.5972985267816111E-3</v>
      </c>
      <c r="N306" s="1">
        <v>5.5972985267816111E-3</v>
      </c>
      <c r="O306" s="1">
        <v>5.8570432656233516E-3</v>
      </c>
      <c r="P306" s="1"/>
    </row>
    <row r="307" spans="1:16" x14ac:dyDescent="0.25">
      <c r="A307" s="2">
        <v>298</v>
      </c>
      <c r="B307" s="1" t="s">
        <v>61</v>
      </c>
      <c r="C307" s="1" t="s">
        <v>48</v>
      </c>
      <c r="D307" s="1">
        <v>1.225135061297521E-2</v>
      </c>
      <c r="E307" s="1">
        <v>1.143759794507143E-2</v>
      </c>
      <c r="F307" s="1">
        <v>1.0822342208546529E-2</v>
      </c>
      <c r="G307" s="1">
        <v>1.0615774286968631E-2</v>
      </c>
      <c r="H307" s="1">
        <v>1.0970968130449789E-2</v>
      </c>
      <c r="I307" s="1">
        <v>1.060222492714025E-2</v>
      </c>
      <c r="J307" s="1">
        <v>1.0191332084711289E-2</v>
      </c>
      <c r="K307" s="1">
        <v>1.019133208471122E-2</v>
      </c>
      <c r="L307" s="1">
        <v>1.019133208471122E-2</v>
      </c>
      <c r="M307" s="1">
        <v>1.019133208471122E-2</v>
      </c>
      <c r="N307" s="1">
        <v>1.019133208471122E-2</v>
      </c>
      <c r="O307" s="1">
        <v>1.069608350315527E-2</v>
      </c>
      <c r="P307" s="1"/>
    </row>
    <row r="308" spans="1:16" x14ac:dyDescent="0.25">
      <c r="A308" s="2">
        <v>299</v>
      </c>
      <c r="B308" s="1" t="s">
        <v>61</v>
      </c>
      <c r="C308" s="1" t="s">
        <v>49</v>
      </c>
      <c r="D308" s="1">
        <v>2.4877987013706038E-3</v>
      </c>
      <c r="E308" s="1">
        <v>2.4458294297346459E-3</v>
      </c>
      <c r="F308" s="1">
        <v>2.538330766988939E-3</v>
      </c>
      <c r="G308" s="1">
        <v>2.5880084655307608E-3</v>
      </c>
      <c r="H308" s="1">
        <v>2.59239415531723E-3</v>
      </c>
      <c r="I308" s="1">
        <v>2.6163821162224132E-3</v>
      </c>
      <c r="J308" s="1">
        <v>2.6764585464835061E-3</v>
      </c>
      <c r="K308" s="1">
        <v>2.6764585464835061E-3</v>
      </c>
      <c r="L308" s="1">
        <v>2.6764585464835052E-3</v>
      </c>
      <c r="M308" s="1">
        <v>2.6764585464835052E-3</v>
      </c>
      <c r="N308" s="1">
        <v>2.6764585464835061E-3</v>
      </c>
      <c r="O308" s="1">
        <v>2.604639669780192E-3</v>
      </c>
      <c r="P308" s="1"/>
    </row>
    <row r="309" spans="1:16" x14ac:dyDescent="0.25">
      <c r="A309" s="2">
        <v>300</v>
      </c>
      <c r="B309" s="1" t="s">
        <v>61</v>
      </c>
      <c r="C309" s="1" t="s">
        <v>50</v>
      </c>
      <c r="D309" s="1">
        <v>3.1142093378166188E-2</v>
      </c>
      <c r="E309" s="1">
        <v>3.3568162072282637E-2</v>
      </c>
      <c r="F309" s="1">
        <v>3.5415433991136593E-2</v>
      </c>
      <c r="G309" s="1">
        <v>3.552587240900363E-2</v>
      </c>
      <c r="H309" s="1">
        <v>3.5205976291910093E-2</v>
      </c>
      <c r="I309" s="1">
        <v>3.5507781851744483E-2</v>
      </c>
      <c r="J309" s="1">
        <v>3.768488655338955E-2</v>
      </c>
      <c r="K309" s="1">
        <v>3.7684886553389578E-2</v>
      </c>
      <c r="L309" s="1">
        <v>3.7684886553389578E-2</v>
      </c>
      <c r="M309" s="1">
        <v>3.7684886553389578E-2</v>
      </c>
      <c r="N309" s="1">
        <v>3.7684886553389578E-2</v>
      </c>
      <c r="O309" s="1">
        <v>3.5889977523744683E-2</v>
      </c>
      <c r="P309" s="1"/>
    </row>
    <row r="310" spans="1:16" x14ac:dyDescent="0.25">
      <c r="A310" s="2">
        <v>301</v>
      </c>
      <c r="B310" s="1" t="s">
        <v>61</v>
      </c>
      <c r="C310" s="1" t="s">
        <v>21</v>
      </c>
      <c r="D310" s="1">
        <v>7.6507755534533525E-2</v>
      </c>
      <c r="E310" s="1">
        <v>7.7952951537996612E-2</v>
      </c>
      <c r="F310" s="1">
        <v>7.7835674031029714E-2</v>
      </c>
      <c r="G310" s="1">
        <v>7.8121116369361393E-2</v>
      </c>
      <c r="H310" s="1">
        <v>7.7549126982078109E-2</v>
      </c>
      <c r="I310" s="1">
        <v>7.651254531048178E-2</v>
      </c>
      <c r="J310" s="1">
        <v>7.8282566149883048E-2</v>
      </c>
      <c r="K310" s="1">
        <v>7.8282566149883187E-2</v>
      </c>
      <c r="L310" s="1">
        <v>7.8282566149883173E-2</v>
      </c>
      <c r="M310" s="1">
        <v>7.8282566149883159E-2</v>
      </c>
      <c r="N310" s="1">
        <v>7.8282566149883173E-2</v>
      </c>
      <c r="O310" s="1">
        <v>7.7808363683172441E-2</v>
      </c>
      <c r="P310" s="1"/>
    </row>
    <row r="311" spans="1:16" x14ac:dyDescent="0.25">
      <c r="A311" s="2">
        <v>302</v>
      </c>
      <c r="B311" s="1" t="s">
        <v>61</v>
      </c>
      <c r="C311" s="1" t="s">
        <v>52</v>
      </c>
      <c r="D311" s="1">
        <v>1.3039111734218159E-2</v>
      </c>
      <c r="E311" s="1">
        <v>1.272412930242808E-2</v>
      </c>
      <c r="F311" s="1">
        <v>1.231597571786138E-2</v>
      </c>
      <c r="G311" s="1">
        <v>1.2688234248038621E-2</v>
      </c>
      <c r="H311" s="1">
        <v>1.33214913220352E-2</v>
      </c>
      <c r="I311" s="1">
        <v>1.3141798777335741E-2</v>
      </c>
      <c r="J311" s="1">
        <v>1.2268044979359211E-2</v>
      </c>
      <c r="K311" s="1">
        <v>1.226804497935923E-2</v>
      </c>
      <c r="L311" s="1">
        <v>1.226804497935923E-2</v>
      </c>
      <c r="M311" s="1">
        <v>1.2268044979359219E-2</v>
      </c>
      <c r="N311" s="1">
        <v>1.226804497935923E-2</v>
      </c>
      <c r="O311" s="1">
        <v>1.259736054533757E-2</v>
      </c>
      <c r="P311" s="1"/>
    </row>
    <row r="312" spans="1:16" x14ac:dyDescent="0.25">
      <c r="A312" s="2">
        <v>303</v>
      </c>
      <c r="B312" s="1" t="s">
        <v>61</v>
      </c>
      <c r="C312" s="1" t="s">
        <v>53</v>
      </c>
      <c r="D312" s="1">
        <v>1.3878074775680821E-3</v>
      </c>
      <c r="E312" s="1">
        <v>1.290127697848693E-3</v>
      </c>
      <c r="F312" s="1">
        <v>1.234453670864699E-3</v>
      </c>
      <c r="G312" s="1">
        <v>1.2583375618567571E-3</v>
      </c>
      <c r="H312" s="1">
        <v>1.289628491479433E-3</v>
      </c>
      <c r="I312" s="1">
        <v>1.267317777781064E-3</v>
      </c>
      <c r="J312" s="1">
        <v>8.3828799521765628E-4</v>
      </c>
      <c r="K312" s="1">
        <v>8.3828799521760186E-4</v>
      </c>
      <c r="L312" s="1">
        <v>8.3828799521760175E-4</v>
      </c>
      <c r="M312" s="1">
        <v>8.3828799521760175E-4</v>
      </c>
      <c r="N312" s="1">
        <v>8.3828799521760175E-4</v>
      </c>
      <c r="O312" s="1">
        <v>1.083555695771526E-3</v>
      </c>
      <c r="P312" s="1"/>
    </row>
    <row r="313" spans="1:16" x14ac:dyDescent="0.25">
      <c r="A313" s="2">
        <v>304</v>
      </c>
      <c r="B313" s="1" t="s">
        <v>61</v>
      </c>
      <c r="C313" s="1" t="s">
        <v>54</v>
      </c>
      <c r="D313" s="1">
        <v>4.8122270938891444E-3</v>
      </c>
      <c r="E313" s="1">
        <v>4.684299011260681E-3</v>
      </c>
      <c r="F313" s="1">
        <v>4.5836213794838961E-3</v>
      </c>
      <c r="G313" s="1">
        <v>4.5701381019437682E-3</v>
      </c>
      <c r="H313" s="1">
        <v>4.643790081982126E-3</v>
      </c>
      <c r="I313" s="1">
        <v>4.8427030632491831E-3</v>
      </c>
      <c r="J313" s="1">
        <v>2.191324813789002E-3</v>
      </c>
      <c r="K313" s="1">
        <v>2.1913248137890051E-3</v>
      </c>
      <c r="L313" s="1">
        <v>2.1913248137890042E-3</v>
      </c>
      <c r="M313" s="1">
        <v>2.1913248137890042E-3</v>
      </c>
      <c r="N313" s="1">
        <v>2.1913248137890051E-3</v>
      </c>
      <c r="O313" s="1">
        <v>3.553945709159438E-3</v>
      </c>
      <c r="P313" s="1"/>
    </row>
    <row r="314" spans="1:16" x14ac:dyDescent="0.25">
      <c r="A314" s="2">
        <v>305</v>
      </c>
      <c r="B314" s="1" t="s">
        <v>61</v>
      </c>
      <c r="C314" s="1" t="s">
        <v>55</v>
      </c>
      <c r="D314" s="1">
        <v>5.991008804023961E-3</v>
      </c>
      <c r="E314" s="1">
        <v>6.1344857011297778E-3</v>
      </c>
      <c r="F314" s="1">
        <v>6.2500137631893134E-3</v>
      </c>
      <c r="G314" s="1">
        <v>6.2246372339761786E-3</v>
      </c>
      <c r="H314" s="1">
        <v>6.2324986979821534E-3</v>
      </c>
      <c r="I314" s="1">
        <v>6.2192919835875327E-3</v>
      </c>
      <c r="J314" s="1">
        <v>6.4409469293231388E-3</v>
      </c>
      <c r="K314" s="1">
        <v>6.4409469293231127E-3</v>
      </c>
      <c r="L314" s="1">
        <v>6.4409469293231136E-3</v>
      </c>
      <c r="M314" s="1">
        <v>6.4409469293231136E-3</v>
      </c>
      <c r="N314" s="1">
        <v>6.4409469293231127E-3</v>
      </c>
      <c r="O314" s="1">
        <v>6.2960609845913182E-3</v>
      </c>
      <c r="P314" s="1"/>
    </row>
    <row r="315" spans="1:16" x14ac:dyDescent="0.25">
      <c r="A315" s="2">
        <v>306</v>
      </c>
      <c r="B315" s="1" t="s">
        <v>61</v>
      </c>
      <c r="C315" s="1" t="s">
        <v>56</v>
      </c>
      <c r="D315" s="1">
        <v>3.501244801456152E-3</v>
      </c>
      <c r="E315" s="1">
        <v>3.4681777884361898E-3</v>
      </c>
      <c r="F315" s="1">
        <v>3.4617885646083218E-3</v>
      </c>
      <c r="G315" s="1">
        <v>3.380975494547361E-3</v>
      </c>
      <c r="H315" s="1">
        <v>3.368194430459459E-3</v>
      </c>
      <c r="I315" s="1">
        <v>3.2864888455287691E-3</v>
      </c>
      <c r="J315" s="1">
        <v>3.616670195355469E-3</v>
      </c>
      <c r="K315" s="1">
        <v>3.6166701953554078E-3</v>
      </c>
      <c r="L315" s="1">
        <v>3.616670195355407E-3</v>
      </c>
      <c r="M315" s="1">
        <v>3.616670195355407E-3</v>
      </c>
      <c r="N315" s="1">
        <v>3.616670195355407E-3</v>
      </c>
      <c r="O315" s="1">
        <v>3.5045655365284869E-3</v>
      </c>
      <c r="P315" s="1"/>
    </row>
    <row r="316" spans="1:16" x14ac:dyDescent="0.25">
      <c r="A316" s="2">
        <v>307</v>
      </c>
      <c r="B316" s="1" t="s">
        <v>61</v>
      </c>
      <c r="C316" s="1" t="s">
        <v>58</v>
      </c>
      <c r="D316" s="1">
        <v>0.22893527475550141</v>
      </c>
      <c r="E316" s="1">
        <v>0.23508605848663019</v>
      </c>
      <c r="F316" s="1">
        <v>0.23622296444518279</v>
      </c>
      <c r="G316" s="1">
        <v>0.23608788246853521</v>
      </c>
      <c r="H316" s="1">
        <v>0.23453165129872491</v>
      </c>
      <c r="I316" s="1">
        <v>0.23653549307760391</v>
      </c>
      <c r="J316" s="1">
        <v>0.24412740069542829</v>
      </c>
      <c r="K316" s="1">
        <v>0.24412740069542879</v>
      </c>
      <c r="L316" s="1">
        <v>0.24412740069542879</v>
      </c>
      <c r="M316" s="1">
        <v>0.24412740069542879</v>
      </c>
      <c r="N316" s="1">
        <v>0.24412740069542879</v>
      </c>
      <c r="O316" s="1">
        <v>0.23891239345539281</v>
      </c>
      <c r="P316" s="1"/>
    </row>
    <row r="317" spans="1:16" x14ac:dyDescent="0.25">
      <c r="A317" s="2">
        <v>308</v>
      </c>
      <c r="B317" s="1" t="s">
        <v>61</v>
      </c>
      <c r="C317" s="1" t="s">
        <v>59</v>
      </c>
      <c r="D317" s="1">
        <v>2.136886861590245E-2</v>
      </c>
      <c r="E317" s="1">
        <v>2.2521638248895321E-2</v>
      </c>
      <c r="F317" s="1">
        <v>2.3070797618015271E-2</v>
      </c>
      <c r="G317" s="1">
        <v>2.3158353663834539E-2</v>
      </c>
      <c r="H317" s="1">
        <v>2.3094782596532311E-2</v>
      </c>
      <c r="I317" s="1">
        <v>2.334016095304289E-2</v>
      </c>
      <c r="J317" s="1">
        <v>1.8287913145644881E-2</v>
      </c>
      <c r="K317" s="1">
        <v>1.8287913145644839E-2</v>
      </c>
      <c r="L317" s="1">
        <v>1.8287913145644839E-2</v>
      </c>
      <c r="M317" s="1">
        <v>1.8287913145644839E-2</v>
      </c>
      <c r="N317" s="1">
        <v>1.8287913145644839E-2</v>
      </c>
      <c r="O317" s="1">
        <v>2.0726742493131549E-2</v>
      </c>
      <c r="P317" s="1"/>
    </row>
    <row r="318" spans="1:16" x14ac:dyDescent="0.25">
      <c r="A318" s="2">
        <v>309</v>
      </c>
      <c r="B318" s="1" t="s">
        <v>61</v>
      </c>
      <c r="C318" s="1" t="s">
        <v>23</v>
      </c>
      <c r="D318" s="1">
        <v>1.5845420580057189E-2</v>
      </c>
      <c r="E318" s="1">
        <v>1.5688889795712431E-2</v>
      </c>
      <c r="F318" s="1">
        <v>1.623680698639992E-2</v>
      </c>
      <c r="G318" s="1">
        <v>1.621752178810984E-2</v>
      </c>
      <c r="H318" s="1">
        <v>1.6495880854713391E-2</v>
      </c>
      <c r="I318" s="1">
        <v>1.664726211215763E-2</v>
      </c>
      <c r="J318" s="1">
        <v>1.7927675638353551E-2</v>
      </c>
      <c r="K318" s="1">
        <v>1.7927675638353541E-2</v>
      </c>
      <c r="L318" s="1">
        <v>1.7927675638353541E-2</v>
      </c>
      <c r="M318" s="1">
        <v>1.7927675638353541E-2</v>
      </c>
      <c r="N318" s="1">
        <v>1.7927675638353541E-2</v>
      </c>
      <c r="O318" s="1">
        <v>1.6979105482628921E-2</v>
      </c>
      <c r="P318" s="1"/>
    </row>
    <row r="319" spans="1:16" x14ac:dyDescent="0.25">
      <c r="A319" s="2">
        <v>310</v>
      </c>
      <c r="B319" s="1" t="s">
        <v>61</v>
      </c>
      <c r="C319" s="1" t="s">
        <v>25</v>
      </c>
      <c r="D319" s="1">
        <v>1.471700559909106E-2</v>
      </c>
      <c r="E319" s="1">
        <v>1.473599060606743E-2</v>
      </c>
      <c r="F319" s="1">
        <v>1.502545648986961E-2</v>
      </c>
      <c r="G319" s="1">
        <v>1.4088617277000681E-2</v>
      </c>
      <c r="H319" s="1">
        <v>1.356112097402557E-2</v>
      </c>
      <c r="I319" s="1">
        <v>1.3282426436444811E-2</v>
      </c>
      <c r="J319" s="1">
        <v>1.3432482761809391E-2</v>
      </c>
      <c r="K319" s="1">
        <v>1.343248276180933E-2</v>
      </c>
      <c r="L319" s="1">
        <v>1.343248276180933E-2</v>
      </c>
      <c r="M319" s="1">
        <v>1.343248276180933E-2</v>
      </c>
      <c r="N319" s="1">
        <v>1.343248276180933E-2</v>
      </c>
      <c r="O319" s="1">
        <v>1.3870275562867809E-2</v>
      </c>
      <c r="P319" s="1"/>
    </row>
    <row r="320" spans="1:16" x14ac:dyDescent="0.25">
      <c r="A320" s="2">
        <v>311</v>
      </c>
      <c r="B320" s="1" t="s">
        <v>61</v>
      </c>
      <c r="C320" s="1" t="s">
        <v>27</v>
      </c>
      <c r="D320" s="1">
        <v>1.5705509969985359E-2</v>
      </c>
      <c r="E320" s="1">
        <v>1.617275047276347E-2</v>
      </c>
      <c r="F320" s="1">
        <v>1.722683353397849E-2</v>
      </c>
      <c r="G320" s="1">
        <v>1.812538430829402E-2</v>
      </c>
      <c r="H320" s="1">
        <v>1.916627308718228E-2</v>
      </c>
      <c r="I320" s="1">
        <v>1.9846476733058359E-2</v>
      </c>
      <c r="J320" s="1">
        <v>2.150271094692641E-2</v>
      </c>
      <c r="K320" s="1">
        <v>2.1502710946926452E-2</v>
      </c>
      <c r="L320" s="1">
        <v>2.1502710946926441E-2</v>
      </c>
      <c r="M320" s="1">
        <v>2.1502710946926441E-2</v>
      </c>
      <c r="N320" s="1">
        <v>2.1502710946926441E-2</v>
      </c>
      <c r="O320" s="1">
        <v>1.943243480362674E-2</v>
      </c>
      <c r="P320" s="1"/>
    </row>
    <row r="321" spans="1:16" x14ac:dyDescent="0.25">
      <c r="A321" s="2">
        <v>312</v>
      </c>
      <c r="B321" s="1" t="s">
        <v>61</v>
      </c>
      <c r="C321" s="1" t="s">
        <v>60</v>
      </c>
      <c r="D321" s="1">
        <v>6.0278667516469847E-2</v>
      </c>
      <c r="E321" s="1">
        <v>6.1710361200617063E-2</v>
      </c>
      <c r="F321" s="1">
        <v>6.220004315376821E-2</v>
      </c>
      <c r="G321" s="1">
        <v>6.3409600290671289E-2</v>
      </c>
      <c r="H321" s="1">
        <v>6.3308633563683603E-2</v>
      </c>
      <c r="I321" s="1">
        <v>6.3027576415378983E-2</v>
      </c>
      <c r="J321" s="1">
        <v>6.6265966870481224E-2</v>
      </c>
      <c r="K321" s="1">
        <v>6.6265966870481335E-2</v>
      </c>
      <c r="L321" s="1">
        <v>6.6265966870481335E-2</v>
      </c>
      <c r="M321" s="1">
        <v>6.6265966870481335E-2</v>
      </c>
      <c r="N321" s="1">
        <v>6.6265966870481335E-2</v>
      </c>
      <c r="O321" s="1">
        <v>6.4114974226635979E-2</v>
      </c>
      <c r="P321" s="1"/>
    </row>
    <row r="322" spans="1:16" x14ac:dyDescent="0.25">
      <c r="A322" s="2">
        <v>313</v>
      </c>
      <c r="B322" s="1" t="s">
        <v>61</v>
      </c>
      <c r="C322" s="1" t="s">
        <v>62</v>
      </c>
      <c r="D322" s="1">
        <v>7.1402594473168574E-2</v>
      </c>
      <c r="E322" s="1">
        <v>7.3616383708117475E-2</v>
      </c>
      <c r="F322" s="1">
        <v>7.5492099511693445E-2</v>
      </c>
      <c r="G322" s="1">
        <v>7.4665681045428339E-2</v>
      </c>
      <c r="H322" s="1">
        <v>7.3816556544978262E-2</v>
      </c>
      <c r="I322" s="1">
        <v>7.6346549954443302E-2</v>
      </c>
      <c r="J322" s="1">
        <v>7.8503627070482113E-2</v>
      </c>
      <c r="K322" s="1">
        <v>7.8503627070482265E-2</v>
      </c>
      <c r="L322" s="1">
        <v>7.8503627070482265E-2</v>
      </c>
      <c r="M322" s="1">
        <v>7.8503627070482265E-2</v>
      </c>
      <c r="N322" s="1">
        <v>7.8503627070482251E-2</v>
      </c>
      <c r="O322" s="1">
        <v>7.6168909144567337E-2</v>
      </c>
      <c r="P322" s="1"/>
    </row>
    <row r="323" spans="1:16" x14ac:dyDescent="0.25">
      <c r="A323" s="2">
        <v>314</v>
      </c>
      <c r="B323" s="1" t="s">
        <v>61</v>
      </c>
      <c r="C323" s="1" t="s">
        <v>29</v>
      </c>
      <c r="D323" s="1">
        <v>5.0871908230535688E-2</v>
      </c>
      <c r="E323" s="1">
        <v>5.2327346269281101E-2</v>
      </c>
      <c r="F323" s="1">
        <v>5.2661308185638807E-2</v>
      </c>
      <c r="G323" s="1">
        <v>5.3266342793842118E-2</v>
      </c>
      <c r="H323" s="1">
        <v>5.295315620748043E-2</v>
      </c>
      <c r="I323" s="1">
        <v>5.4559091818665452E-2</v>
      </c>
      <c r="J323" s="1">
        <v>5.6638407507417887E-2</v>
      </c>
      <c r="K323" s="1">
        <v>5.6638407507417908E-2</v>
      </c>
      <c r="L323" s="1">
        <v>5.6638407507417908E-2</v>
      </c>
      <c r="M323" s="1">
        <v>5.6638407507417908E-2</v>
      </c>
      <c r="N323" s="1">
        <v>5.6638407507417908E-2</v>
      </c>
      <c r="O323" s="1">
        <v>5.4530108276593922E-2</v>
      </c>
      <c r="P323" s="1"/>
    </row>
    <row r="324" spans="1:16" x14ac:dyDescent="0.25">
      <c r="A324" s="2">
        <v>315</v>
      </c>
      <c r="B324" s="1" t="s">
        <v>61</v>
      </c>
      <c r="C324" s="1" t="s">
        <v>63</v>
      </c>
      <c r="D324" s="1">
        <v>2.673776913263342E-2</v>
      </c>
      <c r="E324" s="1">
        <v>2.7168178111670029E-2</v>
      </c>
      <c r="F324" s="1">
        <v>2.8214917763330249E-2</v>
      </c>
      <c r="G324" s="1">
        <v>2.847895080681755E-2</v>
      </c>
      <c r="H324" s="1">
        <v>2.915398675618748E-2</v>
      </c>
      <c r="I324" s="1">
        <v>2.9988019569005781E-2</v>
      </c>
      <c r="J324" s="1">
        <v>2.9003761719612262E-2</v>
      </c>
      <c r="K324" s="1">
        <v>2.9003761719612262E-2</v>
      </c>
      <c r="L324" s="1">
        <v>2.9003761719612262E-2</v>
      </c>
      <c r="M324" s="1">
        <v>2.9003761719612269E-2</v>
      </c>
      <c r="N324" s="1">
        <v>2.9003761719612251E-2</v>
      </c>
      <c r="O324" s="1">
        <v>2.8614602794336891E-2</v>
      </c>
      <c r="P324" s="1"/>
    </row>
    <row r="325" spans="1:16" x14ac:dyDescent="0.25">
      <c r="A325" s="2">
        <v>316</v>
      </c>
      <c r="B325" s="1" t="s">
        <v>61</v>
      </c>
      <c r="C325" s="1" t="s">
        <v>64</v>
      </c>
      <c r="D325" s="1">
        <v>6.2132883347264911E-2</v>
      </c>
      <c r="E325" s="1">
        <v>6.1921642564503908E-2</v>
      </c>
      <c r="F325" s="1">
        <v>6.1874384737978502E-2</v>
      </c>
      <c r="G325" s="1">
        <v>6.0712956017794917E-2</v>
      </c>
      <c r="H325" s="1">
        <v>6.036038081489261E-2</v>
      </c>
      <c r="I325" s="1">
        <v>6.0813425428116602E-2</v>
      </c>
      <c r="J325" s="1">
        <v>6.3455251418771397E-2</v>
      </c>
      <c r="K325" s="1">
        <v>6.3455251418771536E-2</v>
      </c>
      <c r="L325" s="1">
        <v>6.3455251418771522E-2</v>
      </c>
      <c r="M325" s="1">
        <v>6.3455251418771522E-2</v>
      </c>
      <c r="N325" s="1">
        <v>6.3455251418771522E-2</v>
      </c>
      <c r="O325" s="1">
        <v>6.2281084545855347E-2</v>
      </c>
      <c r="P325" s="1"/>
    </row>
    <row r="326" spans="1:16" x14ac:dyDescent="0.25">
      <c r="A326" s="2">
        <v>317</v>
      </c>
      <c r="B326" s="1" t="s">
        <v>61</v>
      </c>
      <c r="C326" s="1" t="s">
        <v>65</v>
      </c>
      <c r="D326" s="1">
        <v>3.1595919342769972E-2</v>
      </c>
      <c r="E326" s="1">
        <v>3.1885960460386331E-2</v>
      </c>
      <c r="F326" s="1">
        <v>3.2179686827264797E-2</v>
      </c>
      <c r="G326" s="1">
        <v>3.1574076009392799E-2</v>
      </c>
      <c r="H326" s="1">
        <v>3.113228292180107E-2</v>
      </c>
      <c r="I326" s="1">
        <v>3.1207038012843469E-2</v>
      </c>
      <c r="J326" s="1">
        <v>3.1528659071924037E-2</v>
      </c>
      <c r="K326" s="1">
        <v>3.1528659071924071E-2</v>
      </c>
      <c r="L326" s="1">
        <v>3.1528659071924071E-2</v>
      </c>
      <c r="M326" s="1">
        <v>3.1528659071924058E-2</v>
      </c>
      <c r="N326" s="1">
        <v>3.1528659071924058E-2</v>
      </c>
      <c r="O326" s="1">
        <v>3.1565296266734433E-2</v>
      </c>
      <c r="P326" s="1"/>
    </row>
    <row r="327" spans="1:16" x14ac:dyDescent="0.25">
      <c r="A327" s="2">
        <v>318</v>
      </c>
      <c r="B327" s="1" t="s">
        <v>61</v>
      </c>
      <c r="C327" s="1" t="s">
        <v>66</v>
      </c>
      <c r="D327" s="1">
        <v>5.1153461790574457E-2</v>
      </c>
      <c r="E327" s="1">
        <v>5.2927469208797623E-2</v>
      </c>
      <c r="F327" s="1">
        <v>5.4472109646716213E-2</v>
      </c>
      <c r="G327" s="1">
        <v>5.413384900472077E-2</v>
      </c>
      <c r="H327" s="1">
        <v>5.3406100454580878E-2</v>
      </c>
      <c r="I327" s="1">
        <v>5.4048346421451253E-2</v>
      </c>
      <c r="J327" s="1">
        <v>5.383079400660238E-2</v>
      </c>
      <c r="K327" s="1">
        <v>5.3830794006602407E-2</v>
      </c>
      <c r="L327" s="1">
        <v>5.3830794006602407E-2</v>
      </c>
      <c r="M327" s="1">
        <v>5.3830794006602407E-2</v>
      </c>
      <c r="N327" s="1">
        <v>5.3830794006602407E-2</v>
      </c>
      <c r="O327" s="1">
        <v>5.3572300596350292E-2</v>
      </c>
      <c r="P327" s="1"/>
    </row>
    <row r="328" spans="1:16" x14ac:dyDescent="0.25">
      <c r="A328" s="2">
        <v>319</v>
      </c>
      <c r="B328" s="1" t="s">
        <v>61</v>
      </c>
      <c r="C328" s="1" t="s">
        <v>67</v>
      </c>
      <c r="D328" s="1">
        <v>6.8096719941545926E-3</v>
      </c>
      <c r="E328" s="1">
        <v>7.0526445328232849E-3</v>
      </c>
      <c r="F328" s="1">
        <v>7.2030956393204556E-3</v>
      </c>
      <c r="G328" s="1">
        <v>7.3354721455679188E-3</v>
      </c>
      <c r="H328" s="1">
        <v>7.3603049102777618E-3</v>
      </c>
      <c r="I328" s="1">
        <v>7.4291700328358336E-3</v>
      </c>
      <c r="J328" s="1">
        <v>4.7971217202199129E-3</v>
      </c>
      <c r="K328" s="1">
        <v>4.7971217202199103E-3</v>
      </c>
      <c r="L328" s="1">
        <v>4.7971217202199094E-3</v>
      </c>
      <c r="M328" s="1">
        <v>4.7971217202199103E-3</v>
      </c>
      <c r="N328" s="1">
        <v>4.7971217202199103E-3</v>
      </c>
      <c r="O328" s="1">
        <v>6.106906168734493E-3</v>
      </c>
      <c r="P328" s="1"/>
    </row>
    <row r="329" spans="1:16" x14ac:dyDescent="0.25">
      <c r="A329" s="2">
        <v>320</v>
      </c>
      <c r="B329" s="1" t="s">
        <v>61</v>
      </c>
      <c r="C329" s="1" t="s">
        <v>68</v>
      </c>
      <c r="D329" s="1">
        <v>1.086284425150094E-2</v>
      </c>
      <c r="E329" s="1">
        <v>1.099973499678334E-2</v>
      </c>
      <c r="F329" s="1">
        <v>1.132162563046797E-2</v>
      </c>
      <c r="G329" s="1">
        <v>1.1054040281099031E-2</v>
      </c>
      <c r="H329" s="1">
        <v>1.083350886704065E-2</v>
      </c>
      <c r="I329" s="1">
        <v>1.068478626505579E-2</v>
      </c>
      <c r="J329" s="1">
        <v>1.0169346401486231E-2</v>
      </c>
      <c r="K329" s="1">
        <v>1.016934640148622E-2</v>
      </c>
      <c r="L329" s="1">
        <v>1.016934640148622E-2</v>
      </c>
      <c r="M329" s="1">
        <v>1.016934640148622E-2</v>
      </c>
      <c r="N329" s="1">
        <v>1.016934640148622E-2</v>
      </c>
      <c r="O329" s="1">
        <v>1.060029748176171E-2</v>
      </c>
      <c r="P329" s="1"/>
    </row>
    <row r="330" spans="1:16" x14ac:dyDescent="0.25">
      <c r="A330" s="2">
        <v>321</v>
      </c>
      <c r="B330" s="1" t="s">
        <v>61</v>
      </c>
      <c r="C330" s="1" t="s">
        <v>69</v>
      </c>
      <c r="D330" s="1">
        <v>5.1660160057499999E-4</v>
      </c>
      <c r="E330" s="1">
        <v>5.1721540044047745E-4</v>
      </c>
      <c r="F330" s="1">
        <v>4.757127737431912E-4</v>
      </c>
      <c r="G330" s="1">
        <v>4.2360845814055182E-4</v>
      </c>
      <c r="H330" s="1">
        <v>4.7047190488733491E-4</v>
      </c>
      <c r="I330" s="1">
        <v>4.7507097480209317E-4</v>
      </c>
      <c r="J330" s="1">
        <v>4.7386675538091578E-4</v>
      </c>
      <c r="K330" s="1">
        <v>4.7386675538090098E-4</v>
      </c>
      <c r="L330" s="1">
        <v>4.7386675538090098E-4</v>
      </c>
      <c r="M330" s="1">
        <v>4.7386675538090098E-4</v>
      </c>
      <c r="N330" s="1">
        <v>4.7386675538090098E-4</v>
      </c>
      <c r="O330" s="1">
        <v>4.7709226268119708E-4</v>
      </c>
      <c r="P330" s="1"/>
    </row>
  </sheetData>
  <mergeCells count="81">
    <mergeCell ref="XM6:XP6"/>
    <mergeCell ref="VY6:WB6"/>
    <mergeCell ref="WG6:WJ6"/>
    <mergeCell ref="WO6:WR6"/>
    <mergeCell ref="WW6:WZ6"/>
    <mergeCell ref="XE6:XH6"/>
    <mergeCell ref="UK6:UN6"/>
    <mergeCell ref="US6:UV6"/>
    <mergeCell ref="VA6:VD6"/>
    <mergeCell ref="VI6:VL6"/>
    <mergeCell ref="VQ6:VT6"/>
    <mergeCell ref="SW6:SZ6"/>
    <mergeCell ref="TE6:TH6"/>
    <mergeCell ref="TM6:TP6"/>
    <mergeCell ref="TU6:TX6"/>
    <mergeCell ref="UC6:UF6"/>
    <mergeCell ref="RI6:RL6"/>
    <mergeCell ref="RQ6:RT6"/>
    <mergeCell ref="RY6:SB6"/>
    <mergeCell ref="SG6:SJ6"/>
    <mergeCell ref="SO6:SR6"/>
    <mergeCell ref="PU6:PX6"/>
    <mergeCell ref="QC6:QF6"/>
    <mergeCell ref="QK6:QN6"/>
    <mergeCell ref="QS6:QV6"/>
    <mergeCell ref="RA6:RD6"/>
    <mergeCell ref="OG6:OJ6"/>
    <mergeCell ref="OO6:OR6"/>
    <mergeCell ref="OW6:OZ6"/>
    <mergeCell ref="PE6:PH6"/>
    <mergeCell ref="PM6:PP6"/>
    <mergeCell ref="MS6:MV6"/>
    <mergeCell ref="NA6:ND6"/>
    <mergeCell ref="NI6:NL6"/>
    <mergeCell ref="NQ6:NT6"/>
    <mergeCell ref="NY6:OB6"/>
    <mergeCell ref="LE6:LH6"/>
    <mergeCell ref="LM6:LP6"/>
    <mergeCell ref="LU6:LX6"/>
    <mergeCell ref="MC6:MF6"/>
    <mergeCell ref="MK6:MN6"/>
    <mergeCell ref="JQ6:JT6"/>
    <mergeCell ref="JY6:KB6"/>
    <mergeCell ref="KG6:KJ6"/>
    <mergeCell ref="KO6:KR6"/>
    <mergeCell ref="KW6:KZ6"/>
    <mergeCell ref="IC6:IF6"/>
    <mergeCell ref="IK6:IN6"/>
    <mergeCell ref="IS6:IV6"/>
    <mergeCell ref="JA6:JD6"/>
    <mergeCell ref="JI6:JL6"/>
    <mergeCell ref="GO6:GR6"/>
    <mergeCell ref="GW6:GZ6"/>
    <mergeCell ref="HE6:HH6"/>
    <mergeCell ref="HM6:HP6"/>
    <mergeCell ref="HU6:HX6"/>
    <mergeCell ref="FA6:FD6"/>
    <mergeCell ref="FI6:FL6"/>
    <mergeCell ref="FQ6:FT6"/>
    <mergeCell ref="FY6:GB6"/>
    <mergeCell ref="GG6:GJ6"/>
    <mergeCell ref="DM6:DP6"/>
    <mergeCell ref="DU6:DX6"/>
    <mergeCell ref="EC6:EF6"/>
    <mergeCell ref="EK6:EN6"/>
    <mergeCell ref="ES6:EV6"/>
    <mergeCell ref="BY6:CB6"/>
    <mergeCell ref="CG6:CJ6"/>
    <mergeCell ref="CO6:CR6"/>
    <mergeCell ref="CW6:CZ6"/>
    <mergeCell ref="DE6:DH6"/>
    <mergeCell ref="AK6:AN6"/>
    <mergeCell ref="AS6:AV6"/>
    <mergeCell ref="BA6:BD6"/>
    <mergeCell ref="BI6:BL6"/>
    <mergeCell ref="BQ6:BT6"/>
    <mergeCell ref="Q6:T6"/>
    <mergeCell ref="A6:D6"/>
    <mergeCell ref="A3:D5"/>
    <mergeCell ref="V6:Y6"/>
    <mergeCell ref="AC6:A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 shares 2014-2024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Navit Dori</cp:lastModifiedBy>
  <dcterms:created xsi:type="dcterms:W3CDTF">2025-10-25T19:22:32Z</dcterms:created>
  <dcterms:modified xsi:type="dcterms:W3CDTF">2025-10-27T18:13:07Z</dcterms:modified>
</cp:coreProperties>
</file>